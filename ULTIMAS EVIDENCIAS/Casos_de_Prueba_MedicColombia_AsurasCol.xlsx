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teve\Desktop\"/>
    </mc:Choice>
  </mc:AlternateContent>
  <xr:revisionPtr revIDLastSave="0" documentId="13_ncr:1_{DCD8F054-BB55-42DB-8CDB-AA0DB8802FB4}" xr6:coauthVersionLast="47" xr6:coauthVersionMax="47" xr10:uidLastSave="{00000000-0000-0000-0000-000000000000}"/>
  <bookViews>
    <workbookView xWindow="0" yWindow="0" windowWidth="20490" windowHeight="11520" xr2:uid="{00000000-000D-0000-FFFF-FFFF00000000}"/>
  </bookViews>
  <sheets>
    <sheet name="Casos de Prueba" sheetId="1" r:id="rId1"/>
    <sheet name="Defectos" sheetId="2" r:id="rId2"/>
    <sheet name="Indicadores" sheetId="3" r:id="rId3"/>
    <sheet name="cp-01-evidencias" sheetId="4" r:id="rId4"/>
    <sheet name="cp-02-evidencias" sheetId="6" r:id="rId5"/>
    <sheet name="cp-03-evidencias" sheetId="7" r:id="rId6"/>
    <sheet name="cp-04-evidencias" sheetId="8" r:id="rId7"/>
    <sheet name="cp-05-evidencias" sheetId="9" r:id="rId8"/>
    <sheet name="cp-06-evidencias" sheetId="10" r:id="rId9"/>
    <sheet name="cp-07-evidencias" sheetId="11" r:id="rId10"/>
    <sheet name="cp-08-evidencias" sheetId="12" r:id="rId11"/>
    <sheet name="cp-09-evidencias" sheetId="13" r:id="rId12"/>
    <sheet name="cp-10-evidencias" sheetId="14" r:id="rId13"/>
    <sheet name="Datos" sheetId="5" r:id="rId14"/>
  </sheet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3" l="1"/>
  <c r="C6" i="3"/>
  <c r="B6" i="3"/>
  <c r="D5" i="3"/>
  <c r="C5" i="3"/>
  <c r="B5" i="3"/>
  <c r="D4" i="3"/>
  <c r="D9" i="3" s="1"/>
  <c r="C4" i="3"/>
  <c r="C9" i="3" s="1"/>
  <c r="B4" i="3"/>
  <c r="B9" i="3" s="1"/>
  <c r="B7" i="3" l="1"/>
  <c r="C7" i="3"/>
  <c r="D7" i="3"/>
  <c r="B8" i="3"/>
  <c r="C8" i="3"/>
  <c r="D8" i="3"/>
</calcChain>
</file>

<file path=xl/sharedStrings.xml><?xml version="1.0" encoding="utf-8"?>
<sst xmlns="http://schemas.openxmlformats.org/spreadsheetml/2006/main" count="501" uniqueCount="161">
  <si>
    <t>FORMATO DE DISEÑO Y EJECUCIÓN DE PRUEBAS</t>
  </si>
  <si>
    <t>HISTORIA DE USUARIO</t>
  </si>
  <si>
    <t>ID CASO DE PRUEBA</t>
  </si>
  <si>
    <t>TITULO CASO DE PRUEBA</t>
  </si>
  <si>
    <t>PRECONDICIONES</t>
  </si>
  <si>
    <t>PASO A PASO</t>
  </si>
  <si>
    <t>RESULTADO ESPERADO</t>
  </si>
  <si>
    <t>EJECUCIÓN CICLO DE PRUEBAS 1</t>
  </si>
  <si>
    <t>EJECUCIÓN CICLO DE PRUEBAS 2</t>
  </si>
  <si>
    <t>EJECUCIÓN CICLO DE PRUEBAS 3</t>
  </si>
  <si>
    <t>ESTADO</t>
  </si>
  <si>
    <t>ANALISTA</t>
  </si>
  <si>
    <t>FECHA</t>
  </si>
  <si>
    <t>OBSERVACIONES</t>
  </si>
  <si>
    <t>QA</t>
  </si>
  <si>
    <t>FORMATO DE REPORTE DE DEFECTOS</t>
  </si>
  <si>
    <t>ID DEFECTO</t>
  </si>
  <si>
    <t>ASIGNADO A</t>
  </si>
  <si>
    <t>DESCRIPCIÓN</t>
  </si>
  <si>
    <t>PASOS PARA REPRODUCIR</t>
  </si>
  <si>
    <t>APLICACIÓN/SERVICIO</t>
  </si>
  <si>
    <t>AMBIENTE</t>
  </si>
  <si>
    <t>IMPACTO</t>
  </si>
  <si>
    <t>NATURALEZA</t>
  </si>
  <si>
    <t>FECHA REPORTE</t>
  </si>
  <si>
    <t xml:space="preserve">ID CASO DE PRUEBA </t>
  </si>
  <si>
    <t>ESTADO CASOS</t>
  </si>
  <si>
    <t>ESTADO DEFECTOS</t>
  </si>
  <si>
    <t>PASÓ</t>
  </si>
  <si>
    <t>REPORTADO</t>
  </si>
  <si>
    <t>DESARROLLO</t>
  </si>
  <si>
    <t>CRITICO</t>
  </si>
  <si>
    <t>DOCUMENTACIÓN</t>
  </si>
  <si>
    <t>FALLÓ</t>
  </si>
  <si>
    <t>EN REVISIÓN DESARROLLO</t>
  </si>
  <si>
    <t>PRUEBAS</t>
  </si>
  <si>
    <t>ALTO</t>
  </si>
  <si>
    <t>FUNCIONAL</t>
  </si>
  <si>
    <t>NO APLICA</t>
  </si>
  <si>
    <t>SOLUCIONADO</t>
  </si>
  <si>
    <t>PRODUCCIÓN</t>
  </si>
  <si>
    <t>MEDIO</t>
  </si>
  <si>
    <t>TEXTO</t>
  </si>
  <si>
    <t>BLOQUEADO</t>
  </si>
  <si>
    <t>VERIFICADO</t>
  </si>
  <si>
    <t>BAJO</t>
  </si>
  <si>
    <t>INTERFAZ USUARIO</t>
  </si>
  <si>
    <t>REABIERTO</t>
  </si>
  <si>
    <t>CANCELADO</t>
  </si>
  <si>
    <t>**RFRMDM-01** – Registrar un medicamento</t>
  </si>
  <si>
    <t>CP-01</t>
  </si>
  <si>
    <t>1. Usuario autenticado como administrador.
2. Base de datos operativa.
3. No existe el medicamento en el sistema.</t>
  </si>
  <si>
    <t>CP-02</t>
  </si>
  <si>
    <t>CP-03</t>
  </si>
  <si>
    <t>Registrar medicamento con datos incorrectos (campos vacíos)</t>
  </si>
  <si>
    <t>1. Usuario autenticado como administrador.</t>
  </si>
  <si>
    <t>1. Ingresar al módulo "Inventario" → "Registrar medicamento".
2. Dejar el campo "nombre" vacío y completar los demás.
3. Hacer clic en "Guardar".</t>
  </si>
  <si>
    <t>CP-04</t>
  </si>
  <si>
    <t>Actualizar medicamento existente</t>
  </si>
  <si>
    <t>El sistema actualiza los datos, mantiene el stock actual (no modifica el stock con esta acción) y muestra mensaje de éxito.</t>
  </si>
  <si>
    <t>**RFRMDM-02** – Generar alertas de stock bajo</t>
  </si>
  <si>
    <t>CP-05</t>
  </si>
  <si>
    <t>Alerta visual en rojo cuando stock llega a 1 unidad</t>
  </si>
  <si>
    <t>1. Existe un producto con stock mínimo de 5 y stock actual de 2.
2. Usuario autenticado.</t>
  </si>
  <si>
    <t>1. Realizar una venta que descuente 1 unidad del producto (stock pasa de 2 a 1).
2. Ir al listado de productos o al panel de inventario.</t>
  </si>
  <si>
    <t>CP-06</t>
  </si>
  <si>
    <t>1. Realizar un movimiento de salida que deje el stock en 10 (10% del mínimo).
2. Esperar a que el scheduler o evento dispare la alerta.</t>
  </si>
  <si>
    <t>CP-07</t>
  </si>
  <si>
    <t>**RFRMDM-04** – Reportes de vencimiento</t>
  </si>
  <si>
    <t>CP-08</t>
  </si>
  <si>
    <t>Generar reporte de productos próximos a vencer (30 días)</t>
  </si>
  <si>
    <t>1. Productos con fechas de expiración dentro de los próximos 30 días.
2. Usuario autenticado.</t>
  </si>
  <si>
    <t>CP-09</t>
  </si>
  <si>
    <t>Generar reporte de productos vencidos (últimos 7 días)</t>
  </si>
  <si>
    <t>1. Productos con fecha de expiración anterior a la fecha actual y dentro de los últimos 7 días.
2. Usuario autenticado.</t>
  </si>
  <si>
    <t>1. Ingresar a "Reportes" → "Vencimiento".
2. Seleccionar filtro "Vencidos (7 días)".
3. Generar reporte.</t>
  </si>
  <si>
    <t>El sistema muestra listado de productos vencidos con código, cantidad, proveedor y ubicación, y permite imprimir.</t>
  </si>
  <si>
    <t>CP-10</t>
  </si>
  <si>
    <t>RESUMEN DE EJECUCIÓN</t>
  </si>
  <si>
    <t>CICLOS DE PRUEBAS</t>
  </si>
  <si>
    <t>CICLO 1</t>
  </si>
  <si>
    <t>CICLO 2</t>
  </si>
  <si>
    <t>CICLO 3</t>
  </si>
  <si>
    <t>CASOS DE PRUEBA</t>
  </si>
  <si>
    <t>CASOS DE PRUEBAS SATISFACTORIOS</t>
  </si>
  <si>
    <t>CASOS DE PRUEBAS FALLIDOS</t>
  </si>
  <si>
    <t>CASOS DE PRUEBAS NO APLICAN</t>
  </si>
  <si>
    <t>CASOS DE PRUEBA PENDIENTES</t>
  </si>
  <si>
    <t>AVANCE DE EJECUCIÓN</t>
  </si>
  <si>
    <t>AVANCE DE EJECUCIÓN SATISFACTORIO</t>
  </si>
  <si>
    <t>Registrar medicamento nuevo que llegó de manera externa con lote valido</t>
  </si>
  <si>
    <t>1. Ingresar al módulo "Inventario" → "Registrar producto
2. Completar todos los campos obligatorios (nombre, fecha expiración, lote, stock inicial, stock mínimo, stock máximo, categoría).
3. ingresa el lote valido (se genera automático cuando se recibe pedido desde el aplicativo).
4. Hacer clic en "Guardar".</t>
  </si>
  <si>
    <t>El sistema guarda el medicamento, asigna un código ID único automáticamente, actualiza el stock y muestra mensaje de éxito.</t>
  </si>
  <si>
    <t>stiven Robles</t>
  </si>
  <si>
    <t>sin novedades</t>
  </si>
  <si>
    <t>Stiven Robles</t>
  </si>
  <si>
    <t>Se añadió el cambio de temas (Claro/Oscuro) y no hubo alteración de la funcionalidad</t>
  </si>
  <si>
    <t>Registrar medicamento con lote con formato invalido</t>
  </si>
  <si>
    <t>1. Usuario autenticado como administrador.
2. Se creará un medicamento con el lote "2026-04-21"</t>
  </si>
  <si>
    <t>1. Ingresar al módulo "Inventario" → "Registrar medicamento".
2. Completar los campos e ingresar manualmente el lote especificado.
3. Hacer clic en "Guardar".</t>
  </si>
  <si>
    <t>El sistema rechaza el registro, muestra mensaje " El lote debe tener el formato..." y no permite avanzar.</t>
  </si>
  <si>
    <t xml:space="preserve">El formulario no respetaba el formato correcto del lote al momento de ingresarlo. </t>
  </si>
  <si>
    <t>CP-01  - "Registrar medicamento nuevo que llegó de manera externa con lote valido"</t>
  </si>
  <si>
    <t>EVIDENCIAS</t>
  </si>
  <si>
    <t>EVIDENCIA 1</t>
  </si>
  <si>
    <t>Formulario diligenciado</t>
  </si>
  <si>
    <t>Mensaje de confirmación</t>
  </si>
  <si>
    <t>Producto registrado</t>
  </si>
  <si>
    <t>El formulario respeta el formato e impide el avance del proceso de guardado del medicamento.</t>
  </si>
  <si>
    <t>Mensaje de formato invalido</t>
  </si>
  <si>
    <t>Producto no registrado</t>
  </si>
  <si>
    <t>Indicativo de campo faltante</t>
  </si>
  <si>
    <t>El sistema no guarda, resalta el campo obligatorio con un ícono de alerta</t>
  </si>
  <si>
    <t>1. Usuario autenticado como administrador.
2. Existe un medicamento a editar en el sistema".</t>
  </si>
  <si>
    <t>1.Ingresar al módulo "Inventario" -&gt; "Ver inventario"                                      2. Buscar el medicamento por código o nombre.
2. Seleccionar "Editar".
3. Modificar nombre, lote o stock mínimo.
4. Guardar.</t>
  </si>
  <si>
    <t>Se modifica el campo en cuestion</t>
  </si>
  <si>
    <t xml:space="preserve">Actualizacion del producto </t>
  </si>
  <si>
    <t>El producto aparece en la seccion de listado y en el encabezado de "Estado" aparece el mensaje "Crítico" (o similar). (Luego de 24h o en el panel de "Alertas" se generará una altera de stock sobre este articulo)</t>
  </si>
  <si>
    <t>CP-02  - "Registrar medicamento con lote con formato invalido"</t>
  </si>
  <si>
    <t>CP-03  - "Registrar medicamento con datos incorrectos (campos vacíos)"</t>
  </si>
  <si>
    <t>CP-04  - "Actualizar medicamento existente"</t>
  </si>
  <si>
    <t>CP-05  - "Alerta visual en rojo cuando stock llega a 1 unidad"</t>
  </si>
  <si>
    <t>Estado inicial</t>
  </si>
  <si>
    <t>Se realiza una venta de ese articulo</t>
  </si>
  <si>
    <t>Estado posterior</t>
  </si>
  <si>
    <t>Generación de alerta automática o manual de un producto con estado Crítico</t>
  </si>
  <si>
    <t>1. Producto con stock mínimo = 100.
2. Stock actual = 1 (Tras realizar una venta del mismo).
3. Esperar a finalizar el dia o tener permisos de administrador para forma manual.</t>
  </si>
  <si>
    <t>El sistema automaticamente generará una alerta de tipo STOCK del producto o se podrá generar manualmente por el administrador para una acción inmediata.</t>
  </si>
  <si>
    <t>CP-06  - "Generación de alerta automática o manual de un producto con estado Crítico"</t>
  </si>
  <si>
    <t>Ejecución de alertas manual</t>
  </si>
  <si>
    <t>Alerta generada</t>
  </si>
  <si>
    <t>1. Producto con ubral de vencimiento menor a 7 días</t>
  </si>
  <si>
    <t xml:space="preserve">1. Esperar trascurir el tiempo.
2. Darle poca rotación o impulso a medicamentos, mala gestión de pedidos, exceso u organización de bodega física.           3. El producto final debe tener menos de 6 dias de vida util en sistema. </t>
  </si>
  <si>
    <t>El producto aparece con una alerta en el detalle del producto de tipo PROXIMO_A_VENCIMIENTO y aparecerá para resolver en el panel de alertas.</t>
  </si>
  <si>
    <t>CP-09 - "Generar reporte de productos vencidos (últimos 7 días)"</t>
  </si>
  <si>
    <t>No hubo reporte</t>
  </si>
  <si>
    <t>No genera el reporte</t>
  </si>
  <si>
    <t>generación exitosa</t>
  </si>
  <si>
    <t>Alerta de producto cerca del umbral de vencimiento (dias restantes &lt;  7)</t>
  </si>
  <si>
    <t>CP-07 - "Alerta de producto cerca del umbral de vencimiento (dias restantes &lt;  7)"</t>
  </si>
  <si>
    <t>CP-08 - "Generar reporte de productos próximos a vencer (30 días)"</t>
  </si>
  <si>
    <t>1. Ingresar al módulo "Reportes" → "Vista principal" →  "Vencimiento".
2. Seleccionar filtro "Fecha inicio y Fecha fin" del periodo.
3. Generar reporte.</t>
  </si>
  <si>
    <t>El sistema muestra un listado ordenado por fecha ascendente, con nombre, cantidad perdida.  Se habilita opción de imprimir.</t>
  </si>
  <si>
    <t>sin filtro por fechas</t>
  </si>
  <si>
    <t>filtro por fechas funcional</t>
  </si>
  <si>
    <t>Generacion del reporte</t>
  </si>
  <si>
    <t>Informacion del reporte / opcion de imprimir</t>
  </si>
  <si>
    <t>Generar el reporte</t>
  </si>
  <si>
    <t>Selección de fechas</t>
  </si>
  <si>
    <t>EVIDENCIA 2</t>
  </si>
  <si>
    <t>EVIDENCIA 3</t>
  </si>
  <si>
    <t>**RFMDM-05** – Registrar y sumar stock tras recepcion exitosa de pedido de proveedor</t>
  </si>
  <si>
    <t>Actualización automática de inventario al establecer el estado de "Completado / Recibido" en el panel de seguimiento de pedidos tras un checkeo exitoso</t>
  </si>
  <si>
    <t>1. Existe un pedido pendiente de entrega.
2. Usuario con rol de proveedor o administrador.                                             3. Pedido completo.</t>
  </si>
  <si>
    <t>1.El encargado del checkeo de la mercancia verifica que todos los valores establecidos y sus cantidades en el recibo del pedido concuerdan con las unidades recibidas.
2. Una vez confirmado cantidades establecer en la sección de "seguimiento de pedido" y cambiar estado a " Completado / Recibido" para confimar el cargue en la base de datos.</t>
  </si>
  <si>
    <t>El sistema actualiza el stock de los productos del pedido (movimiento de entrada), genera el movimiento de entrada con la informacion respectiva, y no deja modificar o alterar el estado del pedido luego de confirmar que fue recibido exitosamente.</t>
  </si>
  <si>
    <t>Se actualizó vistas y detalles menores y no se alteró al funcionalidad</t>
  </si>
  <si>
    <t>CP-09 - "Actualización automática de inventario al establecer el estado de "Completado / Recibido" en el panel de seguimiento de pedidos tras un checkeo exitoso"</t>
  </si>
  <si>
    <t>Pedido en estado borrador (estado inicial)</t>
  </si>
  <si>
    <t>Pedido validado y marcado como "Completado / Recibido"</t>
  </si>
  <si>
    <t>Stock de producto actualizado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</si>
</sst>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ont>
    <font>
      <b/>
      <sz val="14"/>
      <color theme="1"/>
      <name val="Calibri"/>
      <family val="2"/>
    </font>
    <font>
      <b/>
      <sz val="16"/>
      <color rgb="FF000000"/>
      <name val="Calibri"/>
      <family val="2"/>
    </font>
    <font>
      <sz val="11"/>
      <name val="Calibri"/>
      <family val="2"/>
    </font>
    <font>
      <b/>
      <sz val="16"/>
      <color theme="1"/>
      <name val="Calibri"/>
      <family val="2"/>
    </font>
    <font>
      <b/>
      <sz val="11"/>
      <color theme="0"/>
      <name val="Calibri"/>
      <family val="2"/>
    </font>
    <font>
      <sz val="10"/>
      <color theme="1"/>
      <name val="Calibri"/>
      <family val="2"/>
    </font>
    <font>
      <sz val="11"/>
      <color rgb="FFFFFFFF"/>
      <name val="Calibri"/>
      <family val="2"/>
    </font>
    <font>
      <b/>
      <sz val="10"/>
      <color theme="0"/>
      <name val="Calibri"/>
      <family val="2"/>
    </font>
    <font>
      <sz val="11"/>
      <color theme="1"/>
      <name val="Calibri"/>
      <family val="2"/>
    </font>
    <font>
      <b/>
      <sz val="11"/>
      <color theme="1"/>
      <name val="Calibri"/>
      <family val="2"/>
    </font>
    <font>
      <sz val="9"/>
      <color theme="1"/>
      <name val="Calibri"/>
      <family val="2"/>
    </font>
    <font>
      <sz val="9"/>
      <name val="Calibri"/>
      <family val="2"/>
    </font>
    <font>
      <sz val="11"/>
      <color theme="1"/>
      <name val="Calibri"/>
      <family val="2"/>
    </font>
    <font>
      <sz val="9"/>
      <color theme="1"/>
      <name val="Calibri"/>
      <family val="2"/>
    </font>
    <font>
      <b/>
      <sz val="10"/>
      <color theme="0"/>
      <name val="Calibri"/>
      <family val="2"/>
    </font>
    <font>
      <sz val="9"/>
      <color rgb="FF000000"/>
      <name val="Calibri"/>
      <family val="2"/>
    </font>
  </fonts>
  <fills count="6">
    <fill>
      <patternFill patternType="none"/>
    </fill>
    <fill>
      <patternFill patternType="gray125"/>
    </fill>
    <fill>
      <patternFill patternType="solid">
        <fgColor rgb="FFFFFF00"/>
      </patternFill>
    </fill>
    <fill>
      <patternFill patternType="solid">
        <fgColor rgb="FF00B0F0"/>
      </patternFill>
    </fill>
    <fill>
      <patternFill patternType="solid">
        <fgColor theme="8" tint="-0.249977111117893"/>
        <bgColor indexed="64"/>
      </patternFill>
    </fill>
    <fill>
      <patternFill patternType="solid">
        <fgColor rgb="FFA8D08D"/>
        <bgColor rgb="FF000000"/>
      </patternFill>
    </fill>
  </fills>
  <borders count="42">
    <border>
      <left/>
      <right/>
      <top/>
      <bottom/>
      <diagonal/>
    </border>
    <border>
      <left style="thin">
        <color theme="0"/>
      </left>
      <right/>
      <top style="thin">
        <color theme="0"/>
      </top>
      <bottom style="thin">
        <color theme="0"/>
      </bottom>
      <diagonal/>
    </border>
    <border>
      <left style="medium">
        <color theme="0"/>
      </left>
      <right/>
      <top style="medium">
        <color theme="0"/>
      </top>
      <bottom style="medium">
        <color theme="0"/>
      </bottom>
      <diagonal/>
    </border>
    <border>
      <left/>
      <right/>
      <top style="thin">
        <color theme="0"/>
      </top>
      <bottom style="thin">
        <color theme="0"/>
      </bottom>
      <diagonal/>
    </border>
    <border>
      <left/>
      <right/>
      <top style="medium">
        <color theme="0"/>
      </top>
      <bottom style="medium">
        <color theme="0"/>
      </bottom>
      <diagonal/>
    </border>
    <border>
      <left/>
      <right style="thin">
        <color theme="0"/>
      </right>
      <top style="thin">
        <color theme="0"/>
      </top>
      <bottom style="thin">
        <color theme="0"/>
      </bottom>
      <diagonal/>
    </border>
    <border>
      <left style="thin">
        <color theme="0"/>
      </left>
      <right/>
      <top/>
      <bottom style="thin">
        <color theme="0"/>
      </bottom>
      <diagonal/>
    </border>
    <border>
      <left style="thin">
        <color theme="0"/>
      </left>
      <right style="thin">
        <color theme="0"/>
      </right>
      <top style="thin">
        <color theme="0"/>
      </top>
      <bottom style="thin">
        <color theme="0"/>
      </bottom>
      <diagonal/>
    </border>
    <border>
      <left/>
      <right style="medium">
        <color theme="0"/>
      </right>
      <top style="medium">
        <color theme="0"/>
      </top>
      <bottom style="medium">
        <color theme="0"/>
      </bottom>
      <diagonal/>
    </border>
    <border>
      <left/>
      <right/>
      <top/>
      <bottom style="thin">
        <color theme="0"/>
      </bottom>
      <diagonal/>
    </border>
    <border>
      <left style="thin">
        <color theme="0"/>
      </left>
      <right style="thin">
        <color theme="0"/>
      </right>
      <top style="thin">
        <color theme="0"/>
      </top>
      <bottom/>
      <diagonal/>
    </border>
    <border>
      <left style="thin">
        <color rgb="FF000000"/>
      </left>
      <right/>
      <top style="thin">
        <color rgb="FF000000"/>
      </top>
      <bottom style="thin">
        <color rgb="FF000000"/>
      </bottom>
      <diagonal/>
    </border>
    <border>
      <left/>
      <right/>
      <top/>
      <bottom style="thin">
        <color theme="0"/>
      </bottom>
      <diagonal/>
    </border>
    <border>
      <left style="thin">
        <color theme="0"/>
      </left>
      <right/>
      <top style="thin">
        <color theme="0"/>
      </top>
      <bottom style="thin">
        <color theme="0"/>
      </bottom>
      <diagonal/>
    </border>
    <border>
      <left style="thin">
        <color rgb="FF000000"/>
      </left>
      <right style="thin">
        <color rgb="FF000000"/>
      </right>
      <top style="thin">
        <color rgb="FF000000"/>
      </top>
      <bottom style="thin">
        <color rgb="FF000000"/>
      </bottom>
      <diagonal/>
    </border>
    <border>
      <left style="medium">
        <color theme="0"/>
      </left>
      <right style="medium">
        <color theme="0"/>
      </right>
      <top/>
      <bottom/>
      <diagonal/>
    </border>
    <border>
      <left style="thin">
        <color rgb="FF000000"/>
      </left>
      <right/>
      <top style="thin">
        <color rgb="FF000000"/>
      </top>
      <bottom style="thin">
        <color rgb="FF000000"/>
      </bottom>
      <diagonal/>
    </border>
    <border>
      <left style="medium">
        <color theme="0"/>
      </left>
      <right style="medium">
        <color theme="0"/>
      </right>
      <top/>
      <bottom/>
      <diagonal/>
    </border>
    <border>
      <left style="medium">
        <color theme="0"/>
      </left>
      <right style="medium">
        <color theme="0"/>
      </right>
      <top/>
      <bottom style="medium">
        <color theme="0"/>
      </bottom>
      <diagonal/>
    </border>
    <border>
      <left style="thin">
        <color rgb="FF000000"/>
      </left>
      <right style="thin">
        <color rgb="FF000000"/>
      </right>
      <top/>
      <bottom style="thin">
        <color rgb="FF000000"/>
      </bottom>
      <diagonal/>
    </border>
    <border>
      <left style="medium">
        <color theme="0"/>
      </left>
      <right style="medium">
        <color theme="0"/>
      </right>
      <top style="medium">
        <color theme="0"/>
      </top>
      <bottom style="medium">
        <color theme="0"/>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theme="0"/>
      </left>
      <right/>
      <top/>
      <bottom style="thin">
        <color indexed="64"/>
      </bottom>
      <diagonal/>
    </border>
    <border>
      <left/>
      <right style="thin">
        <color rgb="FF000000"/>
      </right>
      <top/>
      <bottom style="thin">
        <color rgb="FF000000"/>
      </bottom>
      <diagonal/>
    </border>
  </borders>
  <cellStyleXfs count="1">
    <xf numFmtId="0" fontId="0" fillId="0" borderId="0"/>
  </cellStyleXfs>
  <cellXfs count="83">
    <xf numFmtId="0" fontId="0" fillId="0" borderId="0" xfId="0" applyFont="1" applyAlignment="1"/>
    <xf numFmtId="0" fontId="6" fillId="0" borderId="0" xfId="0" applyFont="1"/>
    <xf numFmtId="0" fontId="7" fillId="3" borderId="11" xfId="0" applyFont="1" applyFill="1" applyBorder="1"/>
    <xf numFmtId="0" fontId="7" fillId="3" borderId="14" xfId="0" applyFont="1" applyFill="1" applyBorder="1"/>
    <xf numFmtId="0" fontId="8" fillId="3" borderId="10" xfId="0" applyFont="1" applyFill="1" applyBorder="1" applyAlignment="1">
      <alignment horizontal="center" vertical="center" wrapText="1"/>
    </xf>
    <xf numFmtId="0" fontId="9" fillId="0" borderId="16" xfId="0" applyFont="1" applyBorder="1"/>
    <xf numFmtId="0" fontId="9" fillId="0" borderId="14" xfId="0" applyFont="1" applyBorder="1"/>
    <xf numFmtId="49" fontId="6" fillId="0" borderId="19" xfId="0" applyNumberFormat="1" applyFont="1" applyBorder="1" applyAlignment="1">
      <alignment vertical="top" wrapText="1"/>
    </xf>
    <xf numFmtId="0" fontId="8" fillId="3" borderId="20" xfId="0" applyFont="1" applyFill="1" applyBorder="1" applyAlignment="1">
      <alignment horizontal="center" vertical="center" wrapText="1"/>
    </xf>
    <xf numFmtId="0" fontId="6" fillId="0" borderId="14" xfId="0" applyFont="1" applyBorder="1" applyAlignment="1">
      <alignment horizontal="center" vertical="center" wrapText="1"/>
    </xf>
    <xf numFmtId="0" fontId="6" fillId="0" borderId="19" xfId="0" applyFont="1" applyBorder="1" applyAlignment="1">
      <alignment vertical="top" wrapText="1"/>
    </xf>
    <xf numFmtId="0" fontId="6" fillId="0" borderId="0" xfId="0" applyFont="1" applyAlignment="1">
      <alignment vertical="top"/>
    </xf>
    <xf numFmtId="0" fontId="6" fillId="0" borderId="19" xfId="0" applyFont="1" applyBorder="1" applyAlignment="1">
      <alignment horizontal="center" vertical="center" wrapText="1"/>
    </xf>
    <xf numFmtId="0" fontId="6" fillId="0" borderId="14" xfId="0" applyFont="1" applyBorder="1" applyAlignment="1">
      <alignment wrapText="1"/>
    </xf>
    <xf numFmtId="0" fontId="6" fillId="0" borderId="14" xfId="0" applyFont="1" applyBorder="1"/>
    <xf numFmtId="0" fontId="6" fillId="0" borderId="0" xfId="0" applyFont="1" applyAlignment="1">
      <alignment vertical="top" wrapText="1"/>
    </xf>
    <xf numFmtId="49" fontId="6" fillId="0" borderId="14" xfId="0" applyNumberFormat="1" applyFont="1" applyBorder="1" applyAlignment="1">
      <alignment wrapText="1"/>
    </xf>
    <xf numFmtId="0" fontId="5" fillId="3" borderId="7" xfId="0" applyNumberFormat="1" applyFont="1" applyFill="1" applyBorder="1" applyAlignment="1">
      <alignment vertical="center" wrapText="1"/>
    </xf>
    <xf numFmtId="49" fontId="11" fillId="0" borderId="14" xfId="0" applyNumberFormat="1" applyFont="1" applyFill="1" applyBorder="1" applyAlignment="1">
      <alignment horizontal="center" vertical="center" wrapText="1"/>
    </xf>
    <xf numFmtId="0" fontId="11" fillId="0" borderId="19" xfId="0" applyNumberFormat="1" applyFont="1" applyFill="1" applyBorder="1" applyAlignment="1">
      <alignment horizontal="center" vertical="center" wrapText="1"/>
    </xf>
    <xf numFmtId="0" fontId="11" fillId="0" borderId="14" xfId="0" applyNumberFormat="1" applyFont="1" applyFill="1" applyBorder="1" applyAlignment="1">
      <alignment horizontal="center" vertical="center" wrapText="1"/>
    </xf>
    <xf numFmtId="0" fontId="11" fillId="0" borderId="14" xfId="0" applyNumberFormat="1" applyFont="1" applyFill="1" applyBorder="1" applyAlignment="1">
      <alignment vertical="center" wrapText="1"/>
    </xf>
    <xf numFmtId="49" fontId="11" fillId="0" borderId="22" xfId="0" applyNumberFormat="1" applyFont="1" applyFill="1" applyBorder="1" applyAlignment="1">
      <alignment horizontal="center" vertical="center" wrapText="1"/>
    </xf>
    <xf numFmtId="0" fontId="11" fillId="0" borderId="22" xfId="0" applyNumberFormat="1" applyFont="1" applyFill="1" applyBorder="1" applyAlignment="1">
      <alignment horizontal="center" vertical="center" wrapText="1"/>
    </xf>
    <xf numFmtId="0" fontId="11" fillId="0" borderId="27" xfId="0" applyNumberFormat="1" applyFont="1" applyFill="1" applyBorder="1" applyAlignment="1">
      <alignment vertical="center" wrapText="1"/>
    </xf>
    <xf numFmtId="0" fontId="11" fillId="0" borderId="27" xfId="0" applyNumberFormat="1" applyFont="1" applyFill="1" applyBorder="1" applyAlignment="1">
      <alignment horizontal="center" vertical="center" wrapText="1"/>
    </xf>
    <xf numFmtId="14" fontId="11" fillId="0" borderId="22" xfId="0" applyNumberFormat="1" applyFont="1" applyFill="1" applyBorder="1" applyAlignment="1">
      <alignment horizontal="center" vertical="center" wrapText="1"/>
    </xf>
    <xf numFmtId="0" fontId="11" fillId="0" borderId="23" xfId="0" applyNumberFormat="1" applyFont="1" applyFill="1" applyBorder="1" applyAlignment="1">
      <alignment horizontal="center" vertical="center" wrapText="1"/>
    </xf>
    <xf numFmtId="14" fontId="11" fillId="0" borderId="14" xfId="0" applyNumberFormat="1" applyFont="1" applyFill="1" applyBorder="1" applyAlignment="1">
      <alignment horizontal="center" vertical="center" wrapText="1"/>
    </xf>
    <xf numFmtId="0" fontId="11" fillId="0" borderId="28" xfId="0" applyNumberFormat="1" applyFont="1" applyFill="1" applyBorder="1" applyAlignment="1">
      <alignment horizontal="center" vertical="center" wrapText="1"/>
    </xf>
    <xf numFmtId="0" fontId="11" fillId="0" borderId="26" xfId="0" applyNumberFormat="1" applyFont="1" applyFill="1" applyBorder="1" applyAlignment="1">
      <alignment horizontal="center" vertical="center" wrapText="1"/>
    </xf>
    <xf numFmtId="0" fontId="5" fillId="3" borderId="10" xfId="0" applyNumberFormat="1" applyFont="1" applyFill="1" applyBorder="1" applyAlignment="1">
      <alignment horizontal="center" vertical="center" wrapText="1"/>
    </xf>
    <xf numFmtId="0" fontId="5" fillId="3" borderId="13" xfId="0" applyNumberFormat="1" applyFont="1" applyFill="1" applyBorder="1" applyAlignment="1">
      <alignment vertical="center" wrapText="1"/>
    </xf>
    <xf numFmtId="0" fontId="0" fillId="0" borderId="14" xfId="0" applyNumberFormat="1" applyFont="1" applyFill="1" applyBorder="1" applyAlignment="1">
      <alignment wrapText="1"/>
    </xf>
    <xf numFmtId="9" fontId="10" fillId="0" borderId="14" xfId="0" applyNumberFormat="1" applyFont="1" applyFill="1" applyBorder="1" applyAlignment="1">
      <alignment wrapText="1"/>
    </xf>
    <xf numFmtId="0" fontId="14" fillId="0" borderId="22" xfId="0" applyNumberFormat="1" applyFont="1" applyFill="1" applyBorder="1" applyAlignment="1">
      <alignment horizontal="center" vertical="center" wrapText="1"/>
    </xf>
    <xf numFmtId="0" fontId="14" fillId="0" borderId="19" xfId="0" applyNumberFormat="1" applyFont="1" applyFill="1" applyBorder="1" applyAlignment="1">
      <alignment horizontal="center" vertical="center" wrapText="1"/>
    </xf>
    <xf numFmtId="0" fontId="14" fillId="0" borderId="14" xfId="0" applyNumberFormat="1" applyFont="1" applyFill="1" applyBorder="1" applyAlignment="1">
      <alignment horizontal="center" vertical="center" wrapText="1"/>
    </xf>
    <xf numFmtId="0" fontId="14" fillId="0" borderId="28" xfId="0" applyNumberFormat="1" applyFont="1" applyFill="1" applyBorder="1" applyAlignment="1">
      <alignment horizontal="center" vertical="center" wrapText="1"/>
    </xf>
    <xf numFmtId="0" fontId="0" fillId="0" borderId="0" xfId="0" applyFont="1" applyFill="1" applyBorder="1" applyAlignment="1"/>
    <xf numFmtId="0" fontId="0" fillId="0" borderId="32" xfId="0" applyFont="1" applyBorder="1" applyAlignment="1"/>
    <xf numFmtId="0" fontId="0" fillId="0" borderId="0" xfId="0" applyFont="1" applyBorder="1" applyAlignment="1"/>
    <xf numFmtId="0" fontId="0" fillId="0" borderId="33" xfId="0" applyFont="1" applyBorder="1" applyAlignment="1"/>
    <xf numFmtId="0" fontId="0" fillId="0" borderId="34" xfId="0" applyFont="1" applyBorder="1" applyAlignment="1"/>
    <xf numFmtId="0" fontId="0" fillId="0" borderId="35" xfId="0" applyFont="1" applyBorder="1" applyAlignment="1"/>
    <xf numFmtId="0" fontId="0" fillId="0" borderId="36" xfId="0" applyFont="1" applyBorder="1" applyAlignment="1"/>
    <xf numFmtId="0" fontId="0" fillId="0" borderId="32" xfId="0" applyFont="1" applyFill="1" applyBorder="1" applyAlignment="1"/>
    <xf numFmtId="0" fontId="11" fillId="0" borderId="21" xfId="0" applyNumberFormat="1" applyFont="1" applyFill="1" applyBorder="1" applyAlignment="1">
      <alignment horizontal="center" vertical="center" wrapText="1"/>
    </xf>
    <xf numFmtId="0" fontId="12" fillId="0" borderId="24" xfId="0" applyNumberFormat="1" applyFont="1" applyFill="1" applyBorder="1" applyAlignment="1">
      <alignment horizontal="center" vertical="center" wrapText="1"/>
    </xf>
    <xf numFmtId="0" fontId="11" fillId="0" borderId="25"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3" fillId="0" borderId="4" xfId="0" applyFont="1" applyBorder="1"/>
    <xf numFmtId="0" fontId="3" fillId="0" borderId="8" xfId="0" applyFont="1" applyBorder="1"/>
    <xf numFmtId="0" fontId="8" fillId="3" borderId="15" xfId="0" applyFont="1" applyFill="1" applyBorder="1" applyAlignment="1">
      <alignment horizontal="center" vertical="center" wrapText="1"/>
    </xf>
    <xf numFmtId="0" fontId="3" fillId="0" borderId="17" xfId="0" applyFont="1" applyBorder="1"/>
    <xf numFmtId="0" fontId="2" fillId="4" borderId="2" xfId="0" applyFont="1" applyFill="1" applyBorder="1" applyAlignment="1">
      <alignment horizontal="center" vertical="center"/>
    </xf>
    <xf numFmtId="0" fontId="3" fillId="4" borderId="4" xfId="0" applyFont="1" applyFill="1" applyBorder="1"/>
    <xf numFmtId="0" fontId="3" fillId="4" borderId="8" xfId="0" applyFont="1" applyFill="1" applyBorder="1"/>
    <xf numFmtId="0" fontId="3" fillId="0" borderId="18" xfId="0" applyFont="1" applyBorder="1"/>
    <xf numFmtId="0" fontId="4" fillId="2" borderId="6" xfId="0" applyFont="1" applyFill="1" applyBorder="1" applyAlignment="1">
      <alignment horizontal="center" vertical="center"/>
    </xf>
    <xf numFmtId="0" fontId="3" fillId="0" borderId="9" xfId="0" applyFont="1" applyBorder="1"/>
    <xf numFmtId="0" fontId="3" fillId="0" borderId="12" xfId="0" applyFont="1" applyBorder="1"/>
    <xf numFmtId="0" fontId="1" fillId="2" borderId="1" xfId="0" applyNumberFormat="1" applyFont="1" applyFill="1" applyBorder="1" applyAlignment="1">
      <alignment horizontal="center" vertical="center" wrapText="1"/>
    </xf>
    <xf numFmtId="0" fontId="3" fillId="0" borderId="3" xfId="0" applyNumberFormat="1" applyFont="1" applyFill="1" applyBorder="1" applyAlignment="1">
      <alignment wrapText="1"/>
    </xf>
    <xf numFmtId="0" fontId="3" fillId="0" borderId="5" xfId="0" applyNumberFormat="1" applyFont="1" applyFill="1" applyBorder="1" applyAlignment="1">
      <alignment wrapText="1"/>
    </xf>
    <xf numFmtId="0" fontId="13" fillId="0" borderId="37" xfId="0" applyFont="1" applyBorder="1" applyAlignment="1">
      <alignment horizontal="center"/>
    </xf>
    <xf numFmtId="0" fontId="13" fillId="0" borderId="38" xfId="0" applyFont="1" applyBorder="1" applyAlignment="1">
      <alignment horizontal="center"/>
    </xf>
    <xf numFmtId="0" fontId="13" fillId="0" borderId="39" xfId="0" applyFont="1" applyBorder="1" applyAlignment="1">
      <alignment horizontal="center"/>
    </xf>
    <xf numFmtId="0" fontId="15" fillId="3" borderId="29" xfId="0"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5" fillId="3" borderId="31" xfId="0" applyFont="1" applyFill="1" applyBorder="1" applyAlignment="1">
      <alignment horizontal="center" vertical="center" wrapText="1"/>
    </xf>
    <xf numFmtId="49" fontId="14" fillId="0" borderId="0" xfId="0" applyNumberFormat="1" applyFont="1" applyFill="1" applyBorder="1" applyAlignment="1">
      <alignment horizontal="center" vertical="center" wrapText="1"/>
    </xf>
    <xf numFmtId="0" fontId="15" fillId="3" borderId="40" xfId="0" applyFont="1" applyFill="1" applyBorder="1" applyAlignment="1">
      <alignment horizontal="center" vertical="center" wrapText="1"/>
    </xf>
    <xf numFmtId="0" fontId="15" fillId="3" borderId="35" xfId="0" applyFont="1" applyFill="1" applyBorder="1" applyAlignment="1">
      <alignment horizontal="center" vertical="center" wrapText="1"/>
    </xf>
    <xf numFmtId="49" fontId="11" fillId="0" borderId="0" xfId="0" applyNumberFormat="1" applyFont="1" applyFill="1" applyBorder="1" applyAlignment="1">
      <alignment horizontal="center" vertical="center" wrapText="1"/>
    </xf>
    <xf numFmtId="0" fontId="9" fillId="0" borderId="37" xfId="0" applyFont="1" applyBorder="1" applyAlignment="1">
      <alignment horizontal="center"/>
    </xf>
    <xf numFmtId="0" fontId="8" fillId="3" borderId="29" xfId="0" applyFont="1" applyFill="1" applyBorder="1" applyAlignment="1">
      <alignment horizontal="center" vertical="center" wrapText="1"/>
    </xf>
    <xf numFmtId="14" fontId="11" fillId="0" borderId="27" xfId="0" applyNumberFormat="1" applyFont="1" applyFill="1" applyBorder="1" applyAlignment="1">
      <alignment horizontal="center" vertical="center" wrapText="1"/>
    </xf>
    <xf numFmtId="0" fontId="16" fillId="5" borderId="22" xfId="0" applyFont="1" applyFill="1" applyBorder="1" applyAlignment="1">
      <alignment horizontal="center" vertical="center" wrapText="1"/>
    </xf>
    <xf numFmtId="0" fontId="16" fillId="0" borderId="25" xfId="0" applyFont="1" applyBorder="1" applyAlignment="1">
      <alignment horizontal="center" vertical="center" wrapText="1"/>
    </xf>
    <xf numFmtId="14" fontId="16" fillId="0" borderId="25" xfId="0" applyNumberFormat="1" applyFont="1" applyBorder="1" applyAlignment="1">
      <alignment horizontal="center" vertical="center" wrapText="1"/>
    </xf>
    <xf numFmtId="0" fontId="16" fillId="0" borderId="41" xfId="0" applyFont="1" applyBorder="1" applyAlignment="1">
      <alignment horizontal="center" vertical="center" wrapText="1"/>
    </xf>
    <xf numFmtId="14" fontId="16" fillId="0" borderId="41" xfId="0" applyNumberFormat="1" applyFont="1" applyBorder="1" applyAlignment="1">
      <alignment horizontal="center" vertical="center" wrapText="1"/>
    </xf>
  </cellXfs>
  <cellStyles count="1">
    <cellStyle name="Normal" xfId="0" builtinId="0"/>
  </cellStyles>
  <dxfs count="156">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8D08D"/>
        </patternFill>
      </fill>
    </dxf>
    <dxf>
      <fill>
        <patternFill>
          <bgColor rgb="FFF4B083"/>
        </patternFill>
      </fill>
    </dxf>
    <dxf>
      <fill>
        <patternFill>
          <bgColor rgb="FFAEABAB"/>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png"/><Relationship Id="rId4" Type="http://schemas.openxmlformats.org/officeDocument/2006/relationships/image" Target="../media/image20.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19.png"/><Relationship Id="rId1" Type="http://schemas.openxmlformats.org/officeDocument/2006/relationships/image" Target="../media/image18.png"/><Relationship Id="rId4" Type="http://schemas.openxmlformats.org/officeDocument/2006/relationships/image" Target="../media/image2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 Id="rId5" Type="http://schemas.openxmlformats.org/officeDocument/2006/relationships/image" Target="../media/image30.png"/><Relationship Id="rId4"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oneCell">
    <xdr:from>
      <xdr:col>0</xdr:col>
      <xdr:colOff>209551</xdr:colOff>
      <xdr:row>0</xdr:row>
      <xdr:rowOff>19050</xdr:rowOff>
    </xdr:from>
    <xdr:to>
      <xdr:col>0</xdr:col>
      <xdr:colOff>638175</xdr:colOff>
      <xdr:row>0</xdr:row>
      <xdr:rowOff>485257</xdr:rowOff>
    </xdr:to>
    <xdr:pic>
      <xdr:nvPicPr>
        <xdr:cNvPr id="4" name="Imagen 3">
          <a:extLst>
            <a:ext uri="{FF2B5EF4-FFF2-40B4-BE49-F238E27FC236}">
              <a16:creationId xmlns:a16="http://schemas.microsoft.com/office/drawing/2014/main" id="{D47262FE-F08D-4FD4-BCDB-2DF2635F64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1" y="19050"/>
          <a:ext cx="428624" cy="4662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95250</xdr:colOff>
      <xdr:row>0</xdr:row>
      <xdr:rowOff>47625</xdr:rowOff>
    </xdr:from>
    <xdr:ext cx="1066800" cy="419100"/>
    <xdr:pic>
      <xdr:nvPicPr>
        <xdr:cNvPr id="2" name="/xl/media/image2.pn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85725</xdr:colOff>
      <xdr:row>0</xdr:row>
      <xdr:rowOff>47625</xdr:rowOff>
    </xdr:from>
    <xdr:ext cx="819150" cy="304800"/>
    <xdr:pic>
      <xdr:nvPicPr>
        <xdr:cNvPr id="2" name="/xl/media/image1.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504825</xdr:colOff>
      <xdr:row>7</xdr:row>
      <xdr:rowOff>19050</xdr:rowOff>
    </xdr:from>
    <xdr:to>
      <xdr:col>4</xdr:col>
      <xdr:colOff>505228</xdr:colOff>
      <xdr:row>14</xdr:row>
      <xdr:rowOff>124026</xdr:rowOff>
    </xdr:to>
    <xdr:pic>
      <xdr:nvPicPr>
        <xdr:cNvPr id="2" name="Imagen 1">
          <a:extLst>
            <a:ext uri="{FF2B5EF4-FFF2-40B4-BE49-F238E27FC236}">
              <a16:creationId xmlns:a16="http://schemas.microsoft.com/office/drawing/2014/main" id="{1E7B8745-2D56-4BC4-80E4-8915B9475AFD}"/>
            </a:ext>
          </a:extLst>
        </xdr:cNvPr>
        <xdr:cNvPicPr>
          <a:picLocks noChangeAspect="1"/>
        </xdr:cNvPicPr>
      </xdr:nvPicPr>
      <xdr:blipFill>
        <a:blip xmlns:r="http://schemas.openxmlformats.org/officeDocument/2006/relationships" r:embed="rId1"/>
        <a:stretch>
          <a:fillRect/>
        </a:stretch>
      </xdr:blipFill>
      <xdr:spPr>
        <a:xfrm>
          <a:off x="1466850" y="2276475"/>
          <a:ext cx="2886478" cy="1438476"/>
        </a:xfrm>
        <a:prstGeom prst="rect">
          <a:avLst/>
        </a:prstGeom>
      </xdr:spPr>
    </xdr:pic>
    <xdr:clientData/>
  </xdr:twoCellAnchor>
  <xdr:twoCellAnchor editAs="oneCell">
    <xdr:from>
      <xdr:col>5</xdr:col>
      <xdr:colOff>161925</xdr:colOff>
      <xdr:row>9</xdr:row>
      <xdr:rowOff>47625</xdr:rowOff>
    </xdr:from>
    <xdr:to>
      <xdr:col>9</xdr:col>
      <xdr:colOff>857884</xdr:colOff>
      <xdr:row>11</xdr:row>
      <xdr:rowOff>95310</xdr:rowOff>
    </xdr:to>
    <xdr:pic>
      <xdr:nvPicPr>
        <xdr:cNvPr id="3" name="Imagen 2">
          <a:extLst>
            <a:ext uri="{FF2B5EF4-FFF2-40B4-BE49-F238E27FC236}">
              <a16:creationId xmlns:a16="http://schemas.microsoft.com/office/drawing/2014/main" id="{EEACEBB8-DA3B-4950-B699-73D50ACE9642}"/>
            </a:ext>
          </a:extLst>
        </xdr:cNvPr>
        <xdr:cNvPicPr>
          <a:picLocks noChangeAspect="1"/>
        </xdr:cNvPicPr>
      </xdr:nvPicPr>
      <xdr:blipFill>
        <a:blip xmlns:r="http://schemas.openxmlformats.org/officeDocument/2006/relationships" r:embed="rId2"/>
        <a:stretch>
          <a:fillRect/>
        </a:stretch>
      </xdr:blipFill>
      <xdr:spPr>
        <a:xfrm>
          <a:off x="4972050" y="2676525"/>
          <a:ext cx="4544059" cy="428685"/>
        </a:xfrm>
        <a:prstGeom prst="rect">
          <a:avLst/>
        </a:prstGeom>
      </xdr:spPr>
    </xdr:pic>
    <xdr:clientData/>
  </xdr:twoCellAnchor>
  <xdr:twoCellAnchor editAs="oneCell">
    <xdr:from>
      <xdr:col>10</xdr:col>
      <xdr:colOff>43974</xdr:colOff>
      <xdr:row>7</xdr:row>
      <xdr:rowOff>47626</xdr:rowOff>
    </xdr:from>
    <xdr:to>
      <xdr:col>14</xdr:col>
      <xdr:colOff>737925</xdr:colOff>
      <xdr:row>13</xdr:row>
      <xdr:rowOff>161925</xdr:rowOff>
    </xdr:to>
    <xdr:pic>
      <xdr:nvPicPr>
        <xdr:cNvPr id="4" name="Imagen 3">
          <a:extLst>
            <a:ext uri="{FF2B5EF4-FFF2-40B4-BE49-F238E27FC236}">
              <a16:creationId xmlns:a16="http://schemas.microsoft.com/office/drawing/2014/main" id="{EBF25F6F-3FFA-4FEF-BF7E-CF3D30C449E4}"/>
            </a:ext>
          </a:extLst>
        </xdr:cNvPr>
        <xdr:cNvPicPr>
          <a:picLocks noChangeAspect="1"/>
        </xdr:cNvPicPr>
      </xdr:nvPicPr>
      <xdr:blipFill>
        <a:blip xmlns:r="http://schemas.openxmlformats.org/officeDocument/2006/relationships" r:embed="rId3"/>
        <a:stretch>
          <a:fillRect/>
        </a:stretch>
      </xdr:blipFill>
      <xdr:spPr>
        <a:xfrm>
          <a:off x="9664224" y="2295526"/>
          <a:ext cx="4542051" cy="12572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323850</xdr:colOff>
      <xdr:row>7</xdr:row>
      <xdr:rowOff>28575</xdr:rowOff>
    </xdr:from>
    <xdr:to>
      <xdr:col>4</xdr:col>
      <xdr:colOff>533832</xdr:colOff>
      <xdr:row>14</xdr:row>
      <xdr:rowOff>152603</xdr:rowOff>
    </xdr:to>
    <xdr:pic>
      <xdr:nvPicPr>
        <xdr:cNvPr id="5" name="Imagen 4">
          <a:extLst>
            <a:ext uri="{FF2B5EF4-FFF2-40B4-BE49-F238E27FC236}">
              <a16:creationId xmlns:a16="http://schemas.microsoft.com/office/drawing/2014/main" id="{926EF060-BC79-4CD0-BAA6-038B612016A6}"/>
            </a:ext>
          </a:extLst>
        </xdr:cNvPr>
        <xdr:cNvPicPr>
          <a:picLocks noChangeAspect="1"/>
        </xdr:cNvPicPr>
      </xdr:nvPicPr>
      <xdr:blipFill>
        <a:blip xmlns:r="http://schemas.openxmlformats.org/officeDocument/2006/relationships" r:embed="rId1"/>
        <a:stretch>
          <a:fillRect/>
        </a:stretch>
      </xdr:blipFill>
      <xdr:spPr>
        <a:xfrm>
          <a:off x="1285875" y="2266950"/>
          <a:ext cx="3096057" cy="1457528"/>
        </a:xfrm>
        <a:prstGeom prst="rect">
          <a:avLst/>
        </a:prstGeom>
      </xdr:spPr>
    </xdr:pic>
    <xdr:clientData/>
  </xdr:twoCellAnchor>
  <xdr:twoCellAnchor editAs="oneCell">
    <xdr:from>
      <xdr:col>5</xdr:col>
      <xdr:colOff>180975</xdr:colOff>
      <xdr:row>9</xdr:row>
      <xdr:rowOff>76200</xdr:rowOff>
    </xdr:from>
    <xdr:to>
      <xdr:col>9</xdr:col>
      <xdr:colOff>762000</xdr:colOff>
      <xdr:row>12</xdr:row>
      <xdr:rowOff>38241</xdr:rowOff>
    </xdr:to>
    <xdr:pic>
      <xdr:nvPicPr>
        <xdr:cNvPr id="6" name="Imagen 5">
          <a:extLst>
            <a:ext uri="{FF2B5EF4-FFF2-40B4-BE49-F238E27FC236}">
              <a16:creationId xmlns:a16="http://schemas.microsoft.com/office/drawing/2014/main" id="{C53E362E-07A4-446F-9C7B-1F8AC9BAD0B7}"/>
            </a:ext>
          </a:extLst>
        </xdr:cNvPr>
        <xdr:cNvPicPr>
          <a:picLocks noChangeAspect="1"/>
        </xdr:cNvPicPr>
      </xdr:nvPicPr>
      <xdr:blipFill>
        <a:blip xmlns:r="http://schemas.openxmlformats.org/officeDocument/2006/relationships" r:embed="rId2"/>
        <a:stretch>
          <a:fillRect/>
        </a:stretch>
      </xdr:blipFill>
      <xdr:spPr>
        <a:xfrm>
          <a:off x="4991100" y="2695575"/>
          <a:ext cx="4429125" cy="533541"/>
        </a:xfrm>
        <a:prstGeom prst="rect">
          <a:avLst/>
        </a:prstGeom>
      </xdr:spPr>
    </xdr:pic>
    <xdr:clientData/>
  </xdr:twoCellAnchor>
  <xdr:twoCellAnchor editAs="oneCell">
    <xdr:from>
      <xdr:col>10</xdr:col>
      <xdr:colOff>800100</xdr:colOff>
      <xdr:row>7</xdr:row>
      <xdr:rowOff>142875</xdr:rowOff>
    </xdr:from>
    <xdr:to>
      <xdr:col>13</xdr:col>
      <xdr:colOff>762398</xdr:colOff>
      <xdr:row>13</xdr:row>
      <xdr:rowOff>143035</xdr:rowOff>
    </xdr:to>
    <xdr:pic>
      <xdr:nvPicPr>
        <xdr:cNvPr id="7" name="Imagen 6">
          <a:extLst>
            <a:ext uri="{FF2B5EF4-FFF2-40B4-BE49-F238E27FC236}">
              <a16:creationId xmlns:a16="http://schemas.microsoft.com/office/drawing/2014/main" id="{5D6570E1-4DE8-47BC-A3E7-1A11B7F7BDC6}"/>
            </a:ext>
          </a:extLst>
        </xdr:cNvPr>
        <xdr:cNvPicPr>
          <a:picLocks noChangeAspect="1"/>
        </xdr:cNvPicPr>
      </xdr:nvPicPr>
      <xdr:blipFill>
        <a:blip xmlns:r="http://schemas.openxmlformats.org/officeDocument/2006/relationships" r:embed="rId3"/>
        <a:stretch>
          <a:fillRect/>
        </a:stretch>
      </xdr:blipFill>
      <xdr:spPr>
        <a:xfrm>
          <a:off x="10420350" y="2381250"/>
          <a:ext cx="2848373" cy="11431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352426</xdr:colOff>
      <xdr:row>7</xdr:row>
      <xdr:rowOff>95250</xdr:rowOff>
    </xdr:from>
    <xdr:to>
      <xdr:col>4</xdr:col>
      <xdr:colOff>510861</xdr:colOff>
      <xdr:row>18</xdr:row>
      <xdr:rowOff>143334</xdr:rowOff>
    </xdr:to>
    <xdr:pic>
      <xdr:nvPicPr>
        <xdr:cNvPr id="5" name="Imagen 4">
          <a:extLst>
            <a:ext uri="{FF2B5EF4-FFF2-40B4-BE49-F238E27FC236}">
              <a16:creationId xmlns:a16="http://schemas.microsoft.com/office/drawing/2014/main" id="{05AD08C9-26F5-4746-806C-FDD5B348EC0B}"/>
            </a:ext>
          </a:extLst>
        </xdr:cNvPr>
        <xdr:cNvPicPr>
          <a:picLocks noChangeAspect="1"/>
        </xdr:cNvPicPr>
      </xdr:nvPicPr>
      <xdr:blipFill>
        <a:blip xmlns:r="http://schemas.openxmlformats.org/officeDocument/2006/relationships" r:embed="rId1"/>
        <a:stretch>
          <a:fillRect/>
        </a:stretch>
      </xdr:blipFill>
      <xdr:spPr>
        <a:xfrm>
          <a:off x="1314451" y="2324100"/>
          <a:ext cx="3044510" cy="2143584"/>
        </a:xfrm>
        <a:prstGeom prst="rect">
          <a:avLst/>
        </a:prstGeom>
      </xdr:spPr>
    </xdr:pic>
    <xdr:clientData/>
  </xdr:twoCellAnchor>
  <xdr:twoCellAnchor editAs="oneCell">
    <xdr:from>
      <xdr:col>5</xdr:col>
      <xdr:colOff>409575</xdr:colOff>
      <xdr:row>8</xdr:row>
      <xdr:rowOff>0</xdr:rowOff>
    </xdr:from>
    <xdr:to>
      <xdr:col>9</xdr:col>
      <xdr:colOff>753982</xdr:colOff>
      <xdr:row>13</xdr:row>
      <xdr:rowOff>28575</xdr:rowOff>
    </xdr:to>
    <xdr:pic>
      <xdr:nvPicPr>
        <xdr:cNvPr id="7" name="Imagen 6">
          <a:extLst>
            <a:ext uri="{FF2B5EF4-FFF2-40B4-BE49-F238E27FC236}">
              <a16:creationId xmlns:a16="http://schemas.microsoft.com/office/drawing/2014/main" id="{FAA8D404-D49D-4D59-9741-422F6E3539D9}"/>
            </a:ext>
          </a:extLst>
        </xdr:cNvPr>
        <xdr:cNvPicPr>
          <a:picLocks noChangeAspect="1"/>
        </xdr:cNvPicPr>
      </xdr:nvPicPr>
      <xdr:blipFill>
        <a:blip xmlns:r="http://schemas.openxmlformats.org/officeDocument/2006/relationships" r:embed="rId2"/>
        <a:stretch>
          <a:fillRect/>
        </a:stretch>
      </xdr:blipFill>
      <xdr:spPr>
        <a:xfrm>
          <a:off x="5219700" y="2419350"/>
          <a:ext cx="4192507" cy="981075"/>
        </a:xfrm>
        <a:prstGeom prst="rect">
          <a:avLst/>
        </a:prstGeom>
      </xdr:spPr>
    </xdr:pic>
    <xdr:clientData/>
  </xdr:twoCellAnchor>
  <xdr:twoCellAnchor editAs="oneCell">
    <xdr:from>
      <xdr:col>10</xdr:col>
      <xdr:colOff>361950</xdr:colOff>
      <xdr:row>8</xdr:row>
      <xdr:rowOff>66675</xdr:rowOff>
    </xdr:from>
    <xdr:to>
      <xdr:col>14</xdr:col>
      <xdr:colOff>706357</xdr:colOff>
      <xdr:row>13</xdr:row>
      <xdr:rowOff>95250</xdr:rowOff>
    </xdr:to>
    <xdr:pic>
      <xdr:nvPicPr>
        <xdr:cNvPr id="8" name="Imagen 7">
          <a:extLst>
            <a:ext uri="{FF2B5EF4-FFF2-40B4-BE49-F238E27FC236}">
              <a16:creationId xmlns:a16="http://schemas.microsoft.com/office/drawing/2014/main" id="{6AAB310E-5E83-49E4-A6C5-6E46FC580880}"/>
            </a:ext>
          </a:extLst>
        </xdr:cNvPr>
        <xdr:cNvPicPr>
          <a:picLocks noChangeAspect="1"/>
        </xdr:cNvPicPr>
      </xdr:nvPicPr>
      <xdr:blipFill>
        <a:blip xmlns:r="http://schemas.openxmlformats.org/officeDocument/2006/relationships" r:embed="rId2"/>
        <a:stretch>
          <a:fillRect/>
        </a:stretch>
      </xdr:blipFill>
      <xdr:spPr>
        <a:xfrm>
          <a:off x="9982200" y="2486025"/>
          <a:ext cx="4192507" cy="981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19050</xdr:colOff>
      <xdr:row>7</xdr:row>
      <xdr:rowOff>66675</xdr:rowOff>
    </xdr:from>
    <xdr:to>
      <xdr:col>5</xdr:col>
      <xdr:colOff>6624</xdr:colOff>
      <xdr:row>17</xdr:row>
      <xdr:rowOff>133761</xdr:rowOff>
    </xdr:to>
    <xdr:pic>
      <xdr:nvPicPr>
        <xdr:cNvPr id="5" name="Imagen 4">
          <a:extLst>
            <a:ext uri="{FF2B5EF4-FFF2-40B4-BE49-F238E27FC236}">
              <a16:creationId xmlns:a16="http://schemas.microsoft.com/office/drawing/2014/main" id="{B7919FF0-5D39-46F3-ACB0-7CA61621B6B3}"/>
            </a:ext>
          </a:extLst>
        </xdr:cNvPr>
        <xdr:cNvPicPr>
          <a:picLocks noChangeAspect="1"/>
        </xdr:cNvPicPr>
      </xdr:nvPicPr>
      <xdr:blipFill>
        <a:blip xmlns:r="http://schemas.openxmlformats.org/officeDocument/2006/relationships" r:embed="rId1"/>
        <a:stretch>
          <a:fillRect/>
        </a:stretch>
      </xdr:blipFill>
      <xdr:spPr>
        <a:xfrm>
          <a:off x="981075" y="2295525"/>
          <a:ext cx="3835674" cy="1972086"/>
        </a:xfrm>
        <a:prstGeom prst="rect">
          <a:avLst/>
        </a:prstGeom>
      </xdr:spPr>
    </xdr:pic>
    <xdr:clientData/>
  </xdr:twoCellAnchor>
  <xdr:twoCellAnchor editAs="oneCell">
    <xdr:from>
      <xdr:col>5</xdr:col>
      <xdr:colOff>190501</xdr:colOff>
      <xdr:row>8</xdr:row>
      <xdr:rowOff>115805</xdr:rowOff>
    </xdr:from>
    <xdr:to>
      <xdr:col>9</xdr:col>
      <xdr:colOff>857251</xdr:colOff>
      <xdr:row>12</xdr:row>
      <xdr:rowOff>171195</xdr:rowOff>
    </xdr:to>
    <xdr:pic>
      <xdr:nvPicPr>
        <xdr:cNvPr id="6" name="Imagen 5">
          <a:extLst>
            <a:ext uri="{FF2B5EF4-FFF2-40B4-BE49-F238E27FC236}">
              <a16:creationId xmlns:a16="http://schemas.microsoft.com/office/drawing/2014/main" id="{7317813F-3B74-4E30-A6B4-B48CBE151812}"/>
            </a:ext>
          </a:extLst>
        </xdr:cNvPr>
        <xdr:cNvPicPr>
          <a:picLocks noChangeAspect="1"/>
        </xdr:cNvPicPr>
      </xdr:nvPicPr>
      <xdr:blipFill>
        <a:blip xmlns:r="http://schemas.openxmlformats.org/officeDocument/2006/relationships" r:embed="rId2"/>
        <a:stretch>
          <a:fillRect/>
        </a:stretch>
      </xdr:blipFill>
      <xdr:spPr>
        <a:xfrm>
          <a:off x="5000626" y="2535155"/>
          <a:ext cx="4514850" cy="817390"/>
        </a:xfrm>
        <a:prstGeom prst="rect">
          <a:avLst/>
        </a:prstGeom>
      </xdr:spPr>
    </xdr:pic>
    <xdr:clientData/>
  </xdr:twoCellAnchor>
  <xdr:twoCellAnchor editAs="oneCell">
    <xdr:from>
      <xdr:col>10</xdr:col>
      <xdr:colOff>609600</xdr:colOff>
      <xdr:row>7</xdr:row>
      <xdr:rowOff>44325</xdr:rowOff>
    </xdr:from>
    <xdr:to>
      <xdr:col>14</xdr:col>
      <xdr:colOff>429469</xdr:colOff>
      <xdr:row>16</xdr:row>
      <xdr:rowOff>114711</xdr:rowOff>
    </xdr:to>
    <xdr:pic>
      <xdr:nvPicPr>
        <xdr:cNvPr id="7" name="Imagen 6">
          <a:extLst>
            <a:ext uri="{FF2B5EF4-FFF2-40B4-BE49-F238E27FC236}">
              <a16:creationId xmlns:a16="http://schemas.microsoft.com/office/drawing/2014/main" id="{49D6C780-006C-470F-9C6F-0E7095E70291}"/>
            </a:ext>
          </a:extLst>
        </xdr:cNvPr>
        <xdr:cNvPicPr>
          <a:picLocks noChangeAspect="1"/>
        </xdr:cNvPicPr>
      </xdr:nvPicPr>
      <xdr:blipFill>
        <a:blip xmlns:r="http://schemas.openxmlformats.org/officeDocument/2006/relationships" r:embed="rId3"/>
        <a:stretch>
          <a:fillRect/>
        </a:stretch>
      </xdr:blipFill>
      <xdr:spPr>
        <a:xfrm>
          <a:off x="10229850" y="2273175"/>
          <a:ext cx="3667969" cy="178488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400050</xdr:colOff>
      <xdr:row>7</xdr:row>
      <xdr:rowOff>171450</xdr:rowOff>
    </xdr:from>
    <xdr:to>
      <xdr:col>4</xdr:col>
      <xdr:colOff>619558</xdr:colOff>
      <xdr:row>13</xdr:row>
      <xdr:rowOff>57294</xdr:rowOff>
    </xdr:to>
    <xdr:pic>
      <xdr:nvPicPr>
        <xdr:cNvPr id="6" name="Imagen 5">
          <a:extLst>
            <a:ext uri="{FF2B5EF4-FFF2-40B4-BE49-F238E27FC236}">
              <a16:creationId xmlns:a16="http://schemas.microsoft.com/office/drawing/2014/main" id="{E86F8FC7-CDFF-4E32-B563-8AEE67E7272A}"/>
            </a:ext>
          </a:extLst>
        </xdr:cNvPr>
        <xdr:cNvPicPr>
          <a:picLocks noChangeAspect="1"/>
        </xdr:cNvPicPr>
      </xdr:nvPicPr>
      <xdr:blipFill>
        <a:blip xmlns:r="http://schemas.openxmlformats.org/officeDocument/2006/relationships" r:embed="rId1"/>
        <a:stretch>
          <a:fillRect/>
        </a:stretch>
      </xdr:blipFill>
      <xdr:spPr>
        <a:xfrm>
          <a:off x="1362075" y="2400300"/>
          <a:ext cx="3105583" cy="1028844"/>
        </a:xfrm>
        <a:prstGeom prst="rect">
          <a:avLst/>
        </a:prstGeom>
      </xdr:spPr>
    </xdr:pic>
    <xdr:clientData/>
  </xdr:twoCellAnchor>
  <xdr:twoCellAnchor editAs="oneCell">
    <xdr:from>
      <xdr:col>5</xdr:col>
      <xdr:colOff>361950</xdr:colOff>
      <xdr:row>8</xdr:row>
      <xdr:rowOff>170555</xdr:rowOff>
    </xdr:from>
    <xdr:to>
      <xdr:col>9</xdr:col>
      <xdr:colOff>810530</xdr:colOff>
      <xdr:row>13</xdr:row>
      <xdr:rowOff>38273</xdr:rowOff>
    </xdr:to>
    <xdr:pic>
      <xdr:nvPicPr>
        <xdr:cNvPr id="7" name="Imagen 6">
          <a:extLst>
            <a:ext uri="{FF2B5EF4-FFF2-40B4-BE49-F238E27FC236}">
              <a16:creationId xmlns:a16="http://schemas.microsoft.com/office/drawing/2014/main" id="{65FDE9D2-1AEE-4C46-81F1-D0895EC3C0F1}"/>
            </a:ext>
          </a:extLst>
        </xdr:cNvPr>
        <xdr:cNvPicPr>
          <a:picLocks noChangeAspect="1"/>
        </xdr:cNvPicPr>
      </xdr:nvPicPr>
      <xdr:blipFill>
        <a:blip xmlns:r="http://schemas.openxmlformats.org/officeDocument/2006/relationships" r:embed="rId2"/>
        <a:stretch>
          <a:fillRect/>
        </a:stretch>
      </xdr:blipFill>
      <xdr:spPr>
        <a:xfrm>
          <a:off x="5172075" y="2589905"/>
          <a:ext cx="4296680" cy="820218"/>
        </a:xfrm>
        <a:prstGeom prst="rect">
          <a:avLst/>
        </a:prstGeom>
      </xdr:spPr>
    </xdr:pic>
    <xdr:clientData/>
  </xdr:twoCellAnchor>
  <xdr:twoCellAnchor editAs="oneCell">
    <xdr:from>
      <xdr:col>11</xdr:col>
      <xdr:colOff>280927</xdr:colOff>
      <xdr:row>7</xdr:row>
      <xdr:rowOff>57149</xdr:rowOff>
    </xdr:from>
    <xdr:to>
      <xdr:col>14</xdr:col>
      <xdr:colOff>219562</xdr:colOff>
      <xdr:row>16</xdr:row>
      <xdr:rowOff>171764</xdr:rowOff>
    </xdr:to>
    <xdr:pic>
      <xdr:nvPicPr>
        <xdr:cNvPr id="8" name="Imagen 7">
          <a:extLst>
            <a:ext uri="{FF2B5EF4-FFF2-40B4-BE49-F238E27FC236}">
              <a16:creationId xmlns:a16="http://schemas.microsoft.com/office/drawing/2014/main" id="{75371E1A-F1A3-43AF-B570-FA6B14362D9A}"/>
            </a:ext>
          </a:extLst>
        </xdr:cNvPr>
        <xdr:cNvPicPr>
          <a:picLocks noChangeAspect="1"/>
        </xdr:cNvPicPr>
      </xdr:nvPicPr>
      <xdr:blipFill>
        <a:blip xmlns:r="http://schemas.openxmlformats.org/officeDocument/2006/relationships" r:embed="rId3"/>
        <a:stretch>
          <a:fillRect/>
        </a:stretch>
      </xdr:blipFill>
      <xdr:spPr>
        <a:xfrm>
          <a:off x="10863202" y="2285999"/>
          <a:ext cx="2824710" cy="182911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585727</xdr:colOff>
      <xdr:row>7</xdr:row>
      <xdr:rowOff>85724</xdr:rowOff>
    </xdr:from>
    <xdr:to>
      <xdr:col>4</xdr:col>
      <xdr:colOff>524362</xdr:colOff>
      <xdr:row>17</xdr:row>
      <xdr:rowOff>9839</xdr:rowOff>
    </xdr:to>
    <xdr:pic>
      <xdr:nvPicPr>
        <xdr:cNvPr id="4" name="Imagen 3">
          <a:extLst>
            <a:ext uri="{FF2B5EF4-FFF2-40B4-BE49-F238E27FC236}">
              <a16:creationId xmlns:a16="http://schemas.microsoft.com/office/drawing/2014/main" id="{844D07E2-E89D-42A6-9EDE-F86D0E01AAA4}"/>
            </a:ext>
          </a:extLst>
        </xdr:cNvPr>
        <xdr:cNvPicPr>
          <a:picLocks noChangeAspect="1"/>
        </xdr:cNvPicPr>
      </xdr:nvPicPr>
      <xdr:blipFill>
        <a:blip xmlns:r="http://schemas.openxmlformats.org/officeDocument/2006/relationships" r:embed="rId1"/>
        <a:stretch>
          <a:fillRect/>
        </a:stretch>
      </xdr:blipFill>
      <xdr:spPr>
        <a:xfrm>
          <a:off x="1547752" y="2314574"/>
          <a:ext cx="2824710" cy="1829115"/>
        </a:xfrm>
        <a:prstGeom prst="rect">
          <a:avLst/>
        </a:prstGeom>
      </xdr:spPr>
    </xdr:pic>
    <xdr:clientData/>
  </xdr:twoCellAnchor>
  <xdr:twoCellAnchor editAs="oneCell">
    <xdr:from>
      <xdr:col>5</xdr:col>
      <xdr:colOff>952500</xdr:colOff>
      <xdr:row>8</xdr:row>
      <xdr:rowOff>85725</xdr:rowOff>
    </xdr:from>
    <xdr:to>
      <xdr:col>9</xdr:col>
      <xdr:colOff>276668</xdr:colOff>
      <xdr:row>13</xdr:row>
      <xdr:rowOff>76332</xdr:rowOff>
    </xdr:to>
    <xdr:pic>
      <xdr:nvPicPr>
        <xdr:cNvPr id="5" name="Imagen 4">
          <a:extLst>
            <a:ext uri="{FF2B5EF4-FFF2-40B4-BE49-F238E27FC236}">
              <a16:creationId xmlns:a16="http://schemas.microsoft.com/office/drawing/2014/main" id="{FCFC3EC4-331B-4E68-8479-F2E4CBEA91DC}"/>
            </a:ext>
          </a:extLst>
        </xdr:cNvPr>
        <xdr:cNvPicPr>
          <a:picLocks noChangeAspect="1"/>
        </xdr:cNvPicPr>
      </xdr:nvPicPr>
      <xdr:blipFill>
        <a:blip xmlns:r="http://schemas.openxmlformats.org/officeDocument/2006/relationships" r:embed="rId2"/>
        <a:stretch>
          <a:fillRect/>
        </a:stretch>
      </xdr:blipFill>
      <xdr:spPr>
        <a:xfrm>
          <a:off x="5762625" y="2505075"/>
          <a:ext cx="3172268" cy="943107"/>
        </a:xfrm>
        <a:prstGeom prst="rect">
          <a:avLst/>
        </a:prstGeom>
      </xdr:spPr>
    </xdr:pic>
    <xdr:clientData/>
  </xdr:twoCellAnchor>
  <xdr:twoCellAnchor editAs="oneCell">
    <xdr:from>
      <xdr:col>10</xdr:col>
      <xdr:colOff>66675</xdr:colOff>
      <xdr:row>7</xdr:row>
      <xdr:rowOff>47625</xdr:rowOff>
    </xdr:from>
    <xdr:to>
      <xdr:col>15</xdr:col>
      <xdr:colOff>29241</xdr:colOff>
      <xdr:row>10</xdr:row>
      <xdr:rowOff>95336</xdr:rowOff>
    </xdr:to>
    <xdr:pic>
      <xdr:nvPicPr>
        <xdr:cNvPr id="6" name="Imagen 5">
          <a:extLst>
            <a:ext uri="{FF2B5EF4-FFF2-40B4-BE49-F238E27FC236}">
              <a16:creationId xmlns:a16="http://schemas.microsoft.com/office/drawing/2014/main" id="{6798DFD7-BA38-4F18-B843-7565E9961660}"/>
            </a:ext>
          </a:extLst>
        </xdr:cNvPr>
        <xdr:cNvPicPr>
          <a:picLocks noChangeAspect="1"/>
        </xdr:cNvPicPr>
      </xdr:nvPicPr>
      <xdr:blipFill>
        <a:blip xmlns:r="http://schemas.openxmlformats.org/officeDocument/2006/relationships" r:embed="rId3"/>
        <a:stretch>
          <a:fillRect/>
        </a:stretch>
      </xdr:blipFill>
      <xdr:spPr>
        <a:xfrm>
          <a:off x="9686925" y="2276475"/>
          <a:ext cx="4772691" cy="619211"/>
        </a:xfrm>
        <a:prstGeom prst="rect">
          <a:avLst/>
        </a:prstGeom>
      </xdr:spPr>
    </xdr:pic>
    <xdr:clientData/>
  </xdr:twoCellAnchor>
  <xdr:twoCellAnchor editAs="oneCell">
    <xdr:from>
      <xdr:col>9</xdr:col>
      <xdr:colOff>914400</xdr:colOff>
      <xdr:row>11</xdr:row>
      <xdr:rowOff>94369</xdr:rowOff>
    </xdr:from>
    <xdr:to>
      <xdr:col>17</xdr:col>
      <xdr:colOff>258726</xdr:colOff>
      <xdr:row>14</xdr:row>
      <xdr:rowOff>47741</xdr:rowOff>
    </xdr:to>
    <xdr:pic>
      <xdr:nvPicPr>
        <xdr:cNvPr id="7" name="Imagen 6">
          <a:extLst>
            <a:ext uri="{FF2B5EF4-FFF2-40B4-BE49-F238E27FC236}">
              <a16:creationId xmlns:a16="http://schemas.microsoft.com/office/drawing/2014/main" id="{1EEAC085-1B2B-4B0E-A162-FF1CB20F1B7D}"/>
            </a:ext>
          </a:extLst>
        </xdr:cNvPr>
        <xdr:cNvPicPr>
          <a:picLocks noChangeAspect="1"/>
        </xdr:cNvPicPr>
      </xdr:nvPicPr>
      <xdr:blipFill>
        <a:blip xmlns:r="http://schemas.openxmlformats.org/officeDocument/2006/relationships" r:embed="rId4"/>
        <a:stretch>
          <a:fillRect/>
        </a:stretch>
      </xdr:blipFill>
      <xdr:spPr>
        <a:xfrm>
          <a:off x="9572625" y="3085219"/>
          <a:ext cx="7040526" cy="52487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952500</xdr:colOff>
      <xdr:row>8</xdr:row>
      <xdr:rowOff>85725</xdr:rowOff>
    </xdr:from>
    <xdr:to>
      <xdr:col>9</xdr:col>
      <xdr:colOff>276668</xdr:colOff>
      <xdr:row>13</xdr:row>
      <xdr:rowOff>76332</xdr:rowOff>
    </xdr:to>
    <xdr:pic>
      <xdr:nvPicPr>
        <xdr:cNvPr id="3" name="Imagen 2">
          <a:extLst>
            <a:ext uri="{FF2B5EF4-FFF2-40B4-BE49-F238E27FC236}">
              <a16:creationId xmlns:a16="http://schemas.microsoft.com/office/drawing/2014/main" id="{F911B883-C07D-4B3E-A402-791E07E46D2C}"/>
            </a:ext>
          </a:extLst>
        </xdr:cNvPr>
        <xdr:cNvPicPr>
          <a:picLocks noChangeAspect="1"/>
        </xdr:cNvPicPr>
      </xdr:nvPicPr>
      <xdr:blipFill>
        <a:blip xmlns:r="http://schemas.openxmlformats.org/officeDocument/2006/relationships" r:embed="rId1"/>
        <a:stretch>
          <a:fillRect/>
        </a:stretch>
      </xdr:blipFill>
      <xdr:spPr>
        <a:xfrm>
          <a:off x="5762625" y="2505075"/>
          <a:ext cx="3172268" cy="943107"/>
        </a:xfrm>
        <a:prstGeom prst="rect">
          <a:avLst/>
        </a:prstGeom>
      </xdr:spPr>
    </xdr:pic>
    <xdr:clientData/>
  </xdr:twoCellAnchor>
  <xdr:twoCellAnchor editAs="oneCell">
    <xdr:from>
      <xdr:col>10</xdr:col>
      <xdr:colOff>66675</xdr:colOff>
      <xdr:row>7</xdr:row>
      <xdr:rowOff>47625</xdr:rowOff>
    </xdr:from>
    <xdr:to>
      <xdr:col>15</xdr:col>
      <xdr:colOff>29241</xdr:colOff>
      <xdr:row>10</xdr:row>
      <xdr:rowOff>95336</xdr:rowOff>
    </xdr:to>
    <xdr:pic>
      <xdr:nvPicPr>
        <xdr:cNvPr id="4" name="Imagen 3">
          <a:extLst>
            <a:ext uri="{FF2B5EF4-FFF2-40B4-BE49-F238E27FC236}">
              <a16:creationId xmlns:a16="http://schemas.microsoft.com/office/drawing/2014/main" id="{F2DEB108-AC36-41FB-9BFD-104667106C46}"/>
            </a:ext>
          </a:extLst>
        </xdr:cNvPr>
        <xdr:cNvPicPr>
          <a:picLocks noChangeAspect="1"/>
        </xdr:cNvPicPr>
      </xdr:nvPicPr>
      <xdr:blipFill>
        <a:blip xmlns:r="http://schemas.openxmlformats.org/officeDocument/2006/relationships" r:embed="rId2"/>
        <a:stretch>
          <a:fillRect/>
        </a:stretch>
      </xdr:blipFill>
      <xdr:spPr>
        <a:xfrm>
          <a:off x="9686925" y="2276475"/>
          <a:ext cx="4772691" cy="619211"/>
        </a:xfrm>
        <a:prstGeom prst="rect">
          <a:avLst/>
        </a:prstGeom>
      </xdr:spPr>
    </xdr:pic>
    <xdr:clientData/>
  </xdr:twoCellAnchor>
  <xdr:twoCellAnchor editAs="oneCell">
    <xdr:from>
      <xdr:col>1</xdr:col>
      <xdr:colOff>495300</xdr:colOff>
      <xdr:row>7</xdr:row>
      <xdr:rowOff>85725</xdr:rowOff>
    </xdr:from>
    <xdr:to>
      <xdr:col>4</xdr:col>
      <xdr:colOff>657650</xdr:colOff>
      <xdr:row>17</xdr:row>
      <xdr:rowOff>9780</xdr:rowOff>
    </xdr:to>
    <xdr:pic>
      <xdr:nvPicPr>
        <xdr:cNvPr id="6" name="Imagen 5">
          <a:extLst>
            <a:ext uri="{FF2B5EF4-FFF2-40B4-BE49-F238E27FC236}">
              <a16:creationId xmlns:a16="http://schemas.microsoft.com/office/drawing/2014/main" id="{69E13CBB-C2DD-4571-B5D5-835C269A5B48}"/>
            </a:ext>
          </a:extLst>
        </xdr:cNvPr>
        <xdr:cNvPicPr>
          <a:picLocks noChangeAspect="1"/>
        </xdr:cNvPicPr>
      </xdr:nvPicPr>
      <xdr:blipFill>
        <a:blip xmlns:r="http://schemas.openxmlformats.org/officeDocument/2006/relationships" r:embed="rId3"/>
        <a:stretch>
          <a:fillRect/>
        </a:stretch>
      </xdr:blipFill>
      <xdr:spPr>
        <a:xfrm>
          <a:off x="1457325" y="2314575"/>
          <a:ext cx="3048425" cy="1829055"/>
        </a:xfrm>
        <a:prstGeom prst="rect">
          <a:avLst/>
        </a:prstGeom>
      </xdr:spPr>
    </xdr:pic>
    <xdr:clientData/>
  </xdr:twoCellAnchor>
  <xdr:twoCellAnchor editAs="oneCell">
    <xdr:from>
      <xdr:col>9</xdr:col>
      <xdr:colOff>952500</xdr:colOff>
      <xdr:row>11</xdr:row>
      <xdr:rowOff>95250</xdr:rowOff>
    </xdr:from>
    <xdr:to>
      <xdr:col>18</xdr:col>
      <xdr:colOff>605248</xdr:colOff>
      <xdr:row>13</xdr:row>
      <xdr:rowOff>142875</xdr:rowOff>
    </xdr:to>
    <xdr:pic>
      <xdr:nvPicPr>
        <xdr:cNvPr id="8" name="Imagen 7">
          <a:extLst>
            <a:ext uri="{FF2B5EF4-FFF2-40B4-BE49-F238E27FC236}">
              <a16:creationId xmlns:a16="http://schemas.microsoft.com/office/drawing/2014/main" id="{889BB838-85EA-4071-9489-14282C73798D}"/>
            </a:ext>
          </a:extLst>
        </xdr:cNvPr>
        <xdr:cNvPicPr>
          <a:picLocks noChangeAspect="1"/>
        </xdr:cNvPicPr>
      </xdr:nvPicPr>
      <xdr:blipFill>
        <a:blip xmlns:r="http://schemas.openxmlformats.org/officeDocument/2006/relationships" r:embed="rId4"/>
        <a:stretch>
          <a:fillRect/>
        </a:stretch>
      </xdr:blipFill>
      <xdr:spPr>
        <a:xfrm>
          <a:off x="9610725" y="3086100"/>
          <a:ext cx="8310973" cy="4286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781051</xdr:colOff>
      <xdr:row>7</xdr:row>
      <xdr:rowOff>95250</xdr:rowOff>
    </xdr:from>
    <xdr:to>
      <xdr:col>5</xdr:col>
      <xdr:colOff>205812</xdr:colOff>
      <xdr:row>15</xdr:row>
      <xdr:rowOff>143249</xdr:rowOff>
    </xdr:to>
    <xdr:pic>
      <xdr:nvPicPr>
        <xdr:cNvPr id="6" name="Imagen 5">
          <a:extLst>
            <a:ext uri="{FF2B5EF4-FFF2-40B4-BE49-F238E27FC236}">
              <a16:creationId xmlns:a16="http://schemas.microsoft.com/office/drawing/2014/main" id="{9165791F-3DA0-4CAC-BA4F-208BB3A1E143}"/>
            </a:ext>
          </a:extLst>
        </xdr:cNvPr>
        <xdr:cNvPicPr>
          <a:picLocks noChangeAspect="1"/>
        </xdr:cNvPicPr>
      </xdr:nvPicPr>
      <xdr:blipFill>
        <a:blip xmlns:r="http://schemas.openxmlformats.org/officeDocument/2006/relationships" r:embed="rId1"/>
        <a:stretch>
          <a:fillRect/>
        </a:stretch>
      </xdr:blipFill>
      <xdr:spPr>
        <a:xfrm>
          <a:off x="781051" y="2324100"/>
          <a:ext cx="4234886" cy="1571999"/>
        </a:xfrm>
        <a:prstGeom prst="rect">
          <a:avLst/>
        </a:prstGeom>
      </xdr:spPr>
    </xdr:pic>
    <xdr:clientData/>
  </xdr:twoCellAnchor>
  <xdr:twoCellAnchor editAs="oneCell">
    <xdr:from>
      <xdr:col>5</xdr:col>
      <xdr:colOff>904875</xdr:colOff>
      <xdr:row>8</xdr:row>
      <xdr:rowOff>171450</xdr:rowOff>
    </xdr:from>
    <xdr:to>
      <xdr:col>9</xdr:col>
      <xdr:colOff>162358</xdr:colOff>
      <xdr:row>12</xdr:row>
      <xdr:rowOff>152504</xdr:rowOff>
    </xdr:to>
    <xdr:pic>
      <xdr:nvPicPr>
        <xdr:cNvPr id="7" name="Imagen 6">
          <a:extLst>
            <a:ext uri="{FF2B5EF4-FFF2-40B4-BE49-F238E27FC236}">
              <a16:creationId xmlns:a16="http://schemas.microsoft.com/office/drawing/2014/main" id="{67E5A32E-7EE4-4B23-BA24-DEBDEDEA24A9}"/>
            </a:ext>
          </a:extLst>
        </xdr:cNvPr>
        <xdr:cNvPicPr>
          <a:picLocks noChangeAspect="1"/>
        </xdr:cNvPicPr>
      </xdr:nvPicPr>
      <xdr:blipFill>
        <a:blip xmlns:r="http://schemas.openxmlformats.org/officeDocument/2006/relationships" r:embed="rId2"/>
        <a:stretch>
          <a:fillRect/>
        </a:stretch>
      </xdr:blipFill>
      <xdr:spPr>
        <a:xfrm>
          <a:off x="5715000" y="2590800"/>
          <a:ext cx="3105583" cy="743054"/>
        </a:xfrm>
        <a:prstGeom prst="rect">
          <a:avLst/>
        </a:prstGeom>
      </xdr:spPr>
    </xdr:pic>
    <xdr:clientData/>
  </xdr:twoCellAnchor>
  <xdr:twoCellAnchor editAs="oneCell">
    <xdr:from>
      <xdr:col>10</xdr:col>
      <xdr:colOff>180974</xdr:colOff>
      <xdr:row>7</xdr:row>
      <xdr:rowOff>95732</xdr:rowOff>
    </xdr:from>
    <xdr:to>
      <xdr:col>14</xdr:col>
      <xdr:colOff>933449</xdr:colOff>
      <xdr:row>14</xdr:row>
      <xdr:rowOff>121661</xdr:rowOff>
    </xdr:to>
    <xdr:pic>
      <xdr:nvPicPr>
        <xdr:cNvPr id="8" name="Imagen 7">
          <a:extLst>
            <a:ext uri="{FF2B5EF4-FFF2-40B4-BE49-F238E27FC236}">
              <a16:creationId xmlns:a16="http://schemas.microsoft.com/office/drawing/2014/main" id="{1D11D1AA-B732-48B5-BDB7-F3C5F9827505}"/>
            </a:ext>
          </a:extLst>
        </xdr:cNvPr>
        <xdr:cNvPicPr>
          <a:picLocks noChangeAspect="1"/>
        </xdr:cNvPicPr>
      </xdr:nvPicPr>
      <xdr:blipFill>
        <a:blip xmlns:r="http://schemas.openxmlformats.org/officeDocument/2006/relationships" r:embed="rId3"/>
        <a:stretch>
          <a:fillRect/>
        </a:stretch>
      </xdr:blipFill>
      <xdr:spPr>
        <a:xfrm>
          <a:off x="9801224" y="2324582"/>
          <a:ext cx="4600575" cy="135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514350</xdr:colOff>
      <xdr:row>7</xdr:row>
      <xdr:rowOff>57150</xdr:rowOff>
    </xdr:from>
    <xdr:to>
      <xdr:col>4</xdr:col>
      <xdr:colOff>901136</xdr:colOff>
      <xdr:row>15</xdr:row>
      <xdr:rowOff>105149</xdr:rowOff>
    </xdr:to>
    <xdr:pic>
      <xdr:nvPicPr>
        <xdr:cNvPr id="6" name="Imagen 5">
          <a:extLst>
            <a:ext uri="{FF2B5EF4-FFF2-40B4-BE49-F238E27FC236}">
              <a16:creationId xmlns:a16="http://schemas.microsoft.com/office/drawing/2014/main" id="{89FEC42F-86B8-42AA-9E7D-D5E691BAEB7D}"/>
            </a:ext>
          </a:extLst>
        </xdr:cNvPr>
        <xdr:cNvPicPr>
          <a:picLocks noChangeAspect="1"/>
        </xdr:cNvPicPr>
      </xdr:nvPicPr>
      <xdr:blipFill>
        <a:blip xmlns:r="http://schemas.openxmlformats.org/officeDocument/2006/relationships" r:embed="rId1"/>
        <a:stretch>
          <a:fillRect/>
        </a:stretch>
      </xdr:blipFill>
      <xdr:spPr>
        <a:xfrm>
          <a:off x="514350" y="2286000"/>
          <a:ext cx="4234886" cy="1571999"/>
        </a:xfrm>
        <a:prstGeom prst="rect">
          <a:avLst/>
        </a:prstGeom>
      </xdr:spPr>
    </xdr:pic>
    <xdr:clientData/>
  </xdr:twoCellAnchor>
  <xdr:twoCellAnchor editAs="oneCell">
    <xdr:from>
      <xdr:col>6</xdr:col>
      <xdr:colOff>57150</xdr:colOff>
      <xdr:row>9</xdr:row>
      <xdr:rowOff>28575</xdr:rowOff>
    </xdr:from>
    <xdr:to>
      <xdr:col>9</xdr:col>
      <xdr:colOff>276658</xdr:colOff>
      <xdr:row>13</xdr:row>
      <xdr:rowOff>9629</xdr:rowOff>
    </xdr:to>
    <xdr:pic>
      <xdr:nvPicPr>
        <xdr:cNvPr id="7" name="Imagen 6">
          <a:extLst>
            <a:ext uri="{FF2B5EF4-FFF2-40B4-BE49-F238E27FC236}">
              <a16:creationId xmlns:a16="http://schemas.microsoft.com/office/drawing/2014/main" id="{E498391C-EF96-4FA8-A111-62DB00026D45}"/>
            </a:ext>
          </a:extLst>
        </xdr:cNvPr>
        <xdr:cNvPicPr>
          <a:picLocks noChangeAspect="1"/>
        </xdr:cNvPicPr>
      </xdr:nvPicPr>
      <xdr:blipFill>
        <a:blip xmlns:r="http://schemas.openxmlformats.org/officeDocument/2006/relationships" r:embed="rId2"/>
        <a:stretch>
          <a:fillRect/>
        </a:stretch>
      </xdr:blipFill>
      <xdr:spPr>
        <a:xfrm>
          <a:off x="5829300" y="2638425"/>
          <a:ext cx="3105583" cy="743054"/>
        </a:xfrm>
        <a:prstGeom prst="rect">
          <a:avLst/>
        </a:prstGeom>
      </xdr:spPr>
    </xdr:pic>
    <xdr:clientData/>
  </xdr:twoCellAnchor>
  <xdr:twoCellAnchor editAs="oneCell">
    <xdr:from>
      <xdr:col>10</xdr:col>
      <xdr:colOff>209550</xdr:colOff>
      <xdr:row>7</xdr:row>
      <xdr:rowOff>38100</xdr:rowOff>
    </xdr:from>
    <xdr:to>
      <xdr:col>15</xdr:col>
      <xdr:colOff>0</xdr:colOff>
      <xdr:row>14</xdr:row>
      <xdr:rowOff>64029</xdr:rowOff>
    </xdr:to>
    <xdr:pic>
      <xdr:nvPicPr>
        <xdr:cNvPr id="8" name="Imagen 7">
          <a:extLst>
            <a:ext uri="{FF2B5EF4-FFF2-40B4-BE49-F238E27FC236}">
              <a16:creationId xmlns:a16="http://schemas.microsoft.com/office/drawing/2014/main" id="{AEEE4389-8C52-4DA7-846D-A3BAC2D86D43}"/>
            </a:ext>
          </a:extLst>
        </xdr:cNvPr>
        <xdr:cNvPicPr>
          <a:picLocks noChangeAspect="1"/>
        </xdr:cNvPicPr>
      </xdr:nvPicPr>
      <xdr:blipFill>
        <a:blip xmlns:r="http://schemas.openxmlformats.org/officeDocument/2006/relationships" r:embed="rId3"/>
        <a:stretch>
          <a:fillRect/>
        </a:stretch>
      </xdr:blipFill>
      <xdr:spPr>
        <a:xfrm>
          <a:off x="9829800" y="2266950"/>
          <a:ext cx="4600575" cy="135942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161925</xdr:colOff>
      <xdr:row>7</xdr:row>
      <xdr:rowOff>38100</xdr:rowOff>
    </xdr:from>
    <xdr:to>
      <xdr:col>4</xdr:col>
      <xdr:colOff>857750</xdr:colOff>
      <xdr:row>30</xdr:row>
      <xdr:rowOff>29185</xdr:rowOff>
    </xdr:to>
    <xdr:pic>
      <xdr:nvPicPr>
        <xdr:cNvPr id="5" name="Imagen 4">
          <a:extLst>
            <a:ext uri="{FF2B5EF4-FFF2-40B4-BE49-F238E27FC236}">
              <a16:creationId xmlns:a16="http://schemas.microsoft.com/office/drawing/2014/main" id="{DB11E647-BF38-4B9E-BBCC-90189F443F71}"/>
            </a:ext>
          </a:extLst>
        </xdr:cNvPr>
        <xdr:cNvPicPr>
          <a:picLocks noChangeAspect="1"/>
        </xdr:cNvPicPr>
      </xdr:nvPicPr>
      <xdr:blipFill>
        <a:blip xmlns:r="http://schemas.openxmlformats.org/officeDocument/2006/relationships" r:embed="rId1"/>
        <a:stretch>
          <a:fillRect/>
        </a:stretch>
      </xdr:blipFill>
      <xdr:spPr>
        <a:xfrm>
          <a:off x="1123950" y="2266950"/>
          <a:ext cx="3581900" cy="4372585"/>
        </a:xfrm>
        <a:prstGeom prst="rect">
          <a:avLst/>
        </a:prstGeom>
      </xdr:spPr>
    </xdr:pic>
    <xdr:clientData/>
  </xdr:twoCellAnchor>
  <xdr:twoCellAnchor editAs="oneCell">
    <xdr:from>
      <xdr:col>1</xdr:col>
      <xdr:colOff>152400</xdr:colOff>
      <xdr:row>30</xdr:row>
      <xdr:rowOff>141748</xdr:rowOff>
    </xdr:from>
    <xdr:to>
      <xdr:col>5</xdr:col>
      <xdr:colOff>828675</xdr:colOff>
      <xdr:row>41</xdr:row>
      <xdr:rowOff>86140</xdr:rowOff>
    </xdr:to>
    <xdr:pic>
      <xdr:nvPicPr>
        <xdr:cNvPr id="6" name="Imagen 5">
          <a:extLst>
            <a:ext uri="{FF2B5EF4-FFF2-40B4-BE49-F238E27FC236}">
              <a16:creationId xmlns:a16="http://schemas.microsoft.com/office/drawing/2014/main" id="{64AE8120-E97E-4F0F-9399-4B8718F35ED1}"/>
            </a:ext>
          </a:extLst>
        </xdr:cNvPr>
        <xdr:cNvPicPr>
          <a:picLocks noChangeAspect="1"/>
        </xdr:cNvPicPr>
      </xdr:nvPicPr>
      <xdr:blipFill>
        <a:blip xmlns:r="http://schemas.openxmlformats.org/officeDocument/2006/relationships" r:embed="rId2"/>
        <a:stretch>
          <a:fillRect/>
        </a:stretch>
      </xdr:blipFill>
      <xdr:spPr>
        <a:xfrm>
          <a:off x="1114425" y="6752098"/>
          <a:ext cx="4524375" cy="2039892"/>
        </a:xfrm>
        <a:prstGeom prst="rect">
          <a:avLst/>
        </a:prstGeom>
      </xdr:spPr>
    </xdr:pic>
    <xdr:clientData/>
  </xdr:twoCellAnchor>
  <xdr:twoCellAnchor editAs="oneCell">
    <xdr:from>
      <xdr:col>1</xdr:col>
      <xdr:colOff>95250</xdr:colOff>
      <xdr:row>42</xdr:row>
      <xdr:rowOff>0</xdr:rowOff>
    </xdr:from>
    <xdr:to>
      <xdr:col>7</xdr:col>
      <xdr:colOff>781049</xdr:colOff>
      <xdr:row>47</xdr:row>
      <xdr:rowOff>123825</xdr:rowOff>
    </xdr:to>
    <xdr:pic>
      <xdr:nvPicPr>
        <xdr:cNvPr id="7" name="Imagen 6">
          <a:extLst>
            <a:ext uri="{FF2B5EF4-FFF2-40B4-BE49-F238E27FC236}">
              <a16:creationId xmlns:a16="http://schemas.microsoft.com/office/drawing/2014/main" id="{EF532210-DAA0-4DB8-BD29-441F90BA9185}"/>
            </a:ext>
          </a:extLst>
        </xdr:cNvPr>
        <xdr:cNvPicPr>
          <a:picLocks noChangeAspect="1"/>
        </xdr:cNvPicPr>
      </xdr:nvPicPr>
      <xdr:blipFill>
        <a:blip xmlns:r="http://schemas.openxmlformats.org/officeDocument/2006/relationships" r:embed="rId3"/>
        <a:stretch>
          <a:fillRect/>
        </a:stretch>
      </xdr:blipFill>
      <xdr:spPr>
        <a:xfrm>
          <a:off x="1057275" y="8896350"/>
          <a:ext cx="6457949" cy="1076325"/>
        </a:xfrm>
        <a:prstGeom prst="rect">
          <a:avLst/>
        </a:prstGeom>
      </xdr:spPr>
    </xdr:pic>
    <xdr:clientData/>
  </xdr:twoCellAnchor>
  <xdr:twoCellAnchor editAs="oneCell">
    <xdr:from>
      <xdr:col>5</xdr:col>
      <xdr:colOff>462588</xdr:colOff>
      <xdr:row>7</xdr:row>
      <xdr:rowOff>85725</xdr:rowOff>
    </xdr:from>
    <xdr:to>
      <xdr:col>9</xdr:col>
      <xdr:colOff>677358</xdr:colOff>
      <xdr:row>20</xdr:row>
      <xdr:rowOff>76858</xdr:rowOff>
    </xdr:to>
    <xdr:pic>
      <xdr:nvPicPr>
        <xdr:cNvPr id="8" name="Imagen 7">
          <a:extLst>
            <a:ext uri="{FF2B5EF4-FFF2-40B4-BE49-F238E27FC236}">
              <a16:creationId xmlns:a16="http://schemas.microsoft.com/office/drawing/2014/main" id="{D078DAD4-BE46-4E39-B4C4-18F285E8062D}"/>
            </a:ext>
          </a:extLst>
        </xdr:cNvPr>
        <xdr:cNvPicPr>
          <a:picLocks noChangeAspect="1"/>
        </xdr:cNvPicPr>
      </xdr:nvPicPr>
      <xdr:blipFill>
        <a:blip xmlns:r="http://schemas.openxmlformats.org/officeDocument/2006/relationships" r:embed="rId4"/>
        <a:stretch>
          <a:fillRect/>
        </a:stretch>
      </xdr:blipFill>
      <xdr:spPr>
        <a:xfrm>
          <a:off x="5272713" y="2314575"/>
          <a:ext cx="4062870" cy="2467633"/>
        </a:xfrm>
        <a:prstGeom prst="rect">
          <a:avLst/>
        </a:prstGeom>
      </xdr:spPr>
    </xdr:pic>
    <xdr:clientData/>
  </xdr:twoCellAnchor>
  <xdr:twoCellAnchor editAs="oneCell">
    <xdr:from>
      <xdr:col>10</xdr:col>
      <xdr:colOff>171449</xdr:colOff>
      <xdr:row>8</xdr:row>
      <xdr:rowOff>160533</xdr:rowOff>
    </xdr:from>
    <xdr:to>
      <xdr:col>16</xdr:col>
      <xdr:colOff>115518</xdr:colOff>
      <xdr:row>13</xdr:row>
      <xdr:rowOff>143074</xdr:rowOff>
    </xdr:to>
    <xdr:pic>
      <xdr:nvPicPr>
        <xdr:cNvPr id="9" name="Imagen 8">
          <a:extLst>
            <a:ext uri="{FF2B5EF4-FFF2-40B4-BE49-F238E27FC236}">
              <a16:creationId xmlns:a16="http://schemas.microsoft.com/office/drawing/2014/main" id="{B0B576F3-F397-42DD-A07D-CC9352A5E3DB}"/>
            </a:ext>
          </a:extLst>
        </xdr:cNvPr>
        <xdr:cNvPicPr>
          <a:picLocks noChangeAspect="1"/>
        </xdr:cNvPicPr>
      </xdr:nvPicPr>
      <xdr:blipFill>
        <a:blip xmlns:r="http://schemas.openxmlformats.org/officeDocument/2006/relationships" r:embed="rId5"/>
        <a:stretch>
          <a:fillRect/>
        </a:stretch>
      </xdr:blipFill>
      <xdr:spPr>
        <a:xfrm>
          <a:off x="9791699" y="2579883"/>
          <a:ext cx="5716219" cy="935041"/>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B13" zoomScale="90" zoomScaleNormal="90" workbookViewId="0">
      <selection activeCell="C13" sqref="C13"/>
    </sheetView>
  </sheetViews>
  <sheetFormatPr baseColWidth="10" defaultColWidth="14.42578125" defaultRowHeight="15" x14ac:dyDescent="0.25"/>
  <cols>
    <col min="1" max="1" width="17.5703125" customWidth="1"/>
    <col min="2" max="2" width="11.42578125" customWidth="1"/>
    <col min="3" max="5" width="25.5703125" customWidth="1"/>
    <col min="6" max="6" width="27.7109375" customWidth="1"/>
    <col min="7" max="7" width="16.5703125" customWidth="1"/>
    <col min="8" max="8" width="13.85546875" customWidth="1"/>
    <col min="9" max="9" width="16.5703125" customWidth="1"/>
    <col min="10" max="10" width="22.7109375" customWidth="1"/>
    <col min="11" max="11" width="16.5703125" customWidth="1"/>
    <col min="12" max="12" width="13.85546875" customWidth="1"/>
    <col min="13" max="13" width="16.5703125" customWidth="1"/>
    <col min="14" max="14" width="22.7109375" customWidth="1"/>
    <col min="15" max="15" width="16.5703125" customWidth="1"/>
    <col min="16" max="16" width="13.85546875" customWidth="1"/>
    <col min="17" max="17" width="16.5703125" customWidth="1"/>
    <col min="18" max="18" width="22.7109375" customWidth="1"/>
    <col min="19" max="26" width="11.42578125" customWidth="1"/>
  </cols>
  <sheetData>
    <row r="1" spans="1:26" ht="40.5" customHeight="1" x14ac:dyDescent="0.25">
      <c r="A1" s="55" t="s">
        <v>0</v>
      </c>
      <c r="B1" s="56"/>
      <c r="C1" s="56"/>
      <c r="D1" s="56"/>
      <c r="E1" s="56"/>
      <c r="F1" s="56"/>
      <c r="G1" s="56"/>
      <c r="H1" s="56"/>
      <c r="I1" s="56"/>
      <c r="J1" s="56"/>
      <c r="K1" s="56"/>
      <c r="L1" s="56"/>
      <c r="M1" s="56"/>
      <c r="N1" s="56"/>
      <c r="O1" s="56"/>
      <c r="P1" s="56"/>
      <c r="Q1" s="56"/>
      <c r="R1" s="57"/>
      <c r="S1" s="1"/>
      <c r="T1" s="1"/>
      <c r="U1" s="1"/>
      <c r="V1" s="1"/>
      <c r="W1" s="1"/>
      <c r="X1" s="1"/>
      <c r="Y1" s="1"/>
      <c r="Z1" s="1"/>
    </row>
    <row r="2" spans="1:26" ht="12.75" customHeight="1" x14ac:dyDescent="0.25">
      <c r="A2" s="53" t="s">
        <v>1</v>
      </c>
      <c r="B2" s="53" t="s">
        <v>2</v>
      </c>
      <c r="C2" s="53" t="s">
        <v>3</v>
      </c>
      <c r="D2" s="53" t="s">
        <v>4</v>
      </c>
      <c r="E2" s="53" t="s">
        <v>5</v>
      </c>
      <c r="F2" s="53" t="s">
        <v>6</v>
      </c>
      <c r="G2" s="50" t="s">
        <v>7</v>
      </c>
      <c r="H2" s="51"/>
      <c r="I2" s="51"/>
      <c r="J2" s="52"/>
      <c r="K2" s="50" t="s">
        <v>8</v>
      </c>
      <c r="L2" s="51"/>
      <c r="M2" s="51"/>
      <c r="N2" s="52"/>
      <c r="O2" s="50" t="s">
        <v>9</v>
      </c>
      <c r="P2" s="51"/>
      <c r="Q2" s="51"/>
      <c r="R2" s="52"/>
      <c r="S2" s="1"/>
      <c r="T2" s="1"/>
      <c r="U2" s="1"/>
      <c r="V2" s="1"/>
      <c r="W2" s="1"/>
      <c r="X2" s="1"/>
      <c r="Y2" s="1"/>
      <c r="Z2" s="1"/>
    </row>
    <row r="3" spans="1:26" ht="32.25" customHeight="1" x14ac:dyDescent="0.25">
      <c r="A3" s="54"/>
      <c r="B3" s="54"/>
      <c r="C3" s="58"/>
      <c r="D3" s="58"/>
      <c r="E3" s="58"/>
      <c r="F3" s="58"/>
      <c r="G3" s="8" t="s">
        <v>10</v>
      </c>
      <c r="H3" s="8" t="s">
        <v>11</v>
      </c>
      <c r="I3" s="8" t="s">
        <v>12</v>
      </c>
      <c r="J3" s="8" t="s">
        <v>13</v>
      </c>
      <c r="K3" s="8" t="s">
        <v>10</v>
      </c>
      <c r="L3" s="8" t="s">
        <v>14</v>
      </c>
      <c r="M3" s="8" t="s">
        <v>12</v>
      </c>
      <c r="N3" s="8" t="s">
        <v>13</v>
      </c>
      <c r="O3" s="8" t="s">
        <v>10</v>
      </c>
      <c r="P3" s="8" t="s">
        <v>14</v>
      </c>
      <c r="Q3" s="8" t="s">
        <v>12</v>
      </c>
      <c r="R3" s="8" t="s">
        <v>13</v>
      </c>
      <c r="S3" s="1"/>
      <c r="T3" s="1"/>
      <c r="U3" s="1"/>
      <c r="V3" s="1"/>
      <c r="W3" s="1"/>
      <c r="X3" s="1"/>
      <c r="Y3" s="1"/>
      <c r="Z3" s="1"/>
    </row>
    <row r="4" spans="1:26" ht="182.25" customHeight="1" x14ac:dyDescent="0.25">
      <c r="A4" s="47" t="s">
        <v>49</v>
      </c>
      <c r="B4" s="22" t="s">
        <v>50</v>
      </c>
      <c r="C4" s="35" t="s">
        <v>90</v>
      </c>
      <c r="D4" s="23" t="s">
        <v>51</v>
      </c>
      <c r="E4" s="35" t="s">
        <v>91</v>
      </c>
      <c r="F4" s="35" t="s">
        <v>92</v>
      </c>
      <c r="G4" s="23" t="s">
        <v>28</v>
      </c>
      <c r="H4" s="35" t="s">
        <v>93</v>
      </c>
      <c r="I4" s="26">
        <v>46257</v>
      </c>
      <c r="J4" s="35" t="s">
        <v>94</v>
      </c>
      <c r="K4" s="23" t="s">
        <v>28</v>
      </c>
      <c r="L4" s="35" t="s">
        <v>95</v>
      </c>
      <c r="M4" s="26">
        <v>46260</v>
      </c>
      <c r="N4" s="35" t="s">
        <v>96</v>
      </c>
      <c r="O4" s="23" t="s">
        <v>28</v>
      </c>
      <c r="P4" s="35" t="s">
        <v>95</v>
      </c>
      <c r="Q4" s="26">
        <v>46262</v>
      </c>
      <c r="R4" s="23" t="s">
        <v>156</v>
      </c>
      <c r="S4" s="1"/>
      <c r="T4" s="1"/>
      <c r="U4" s="1"/>
      <c r="V4" s="1"/>
      <c r="W4" s="1"/>
      <c r="X4" s="1"/>
      <c r="Y4" s="1"/>
      <c r="Z4" s="1"/>
    </row>
    <row r="5" spans="1:26" ht="86.1" customHeight="1" x14ac:dyDescent="0.25">
      <c r="A5" s="48"/>
      <c r="B5" s="18" t="s">
        <v>52</v>
      </c>
      <c r="C5" s="36" t="s">
        <v>97</v>
      </c>
      <c r="D5" s="36" t="s">
        <v>98</v>
      </c>
      <c r="E5" s="36" t="s">
        <v>99</v>
      </c>
      <c r="F5" s="36" t="s">
        <v>100</v>
      </c>
      <c r="G5" s="19" t="s">
        <v>33</v>
      </c>
      <c r="H5" s="37" t="s">
        <v>93</v>
      </c>
      <c r="I5" s="28">
        <v>46262</v>
      </c>
      <c r="J5" s="37" t="s">
        <v>101</v>
      </c>
      <c r="K5" s="19" t="s">
        <v>28</v>
      </c>
      <c r="L5" s="37" t="s">
        <v>95</v>
      </c>
      <c r="M5" s="28">
        <v>46262</v>
      </c>
      <c r="N5" s="23" t="s">
        <v>156</v>
      </c>
      <c r="O5" s="23" t="s">
        <v>28</v>
      </c>
      <c r="P5" s="35" t="s">
        <v>95</v>
      </c>
      <c r="Q5" s="26">
        <v>46262</v>
      </c>
      <c r="R5" s="23" t="s">
        <v>156</v>
      </c>
      <c r="S5" s="1"/>
      <c r="T5" s="1"/>
      <c r="U5" s="1"/>
      <c r="V5" s="1"/>
      <c r="W5" s="1"/>
      <c r="X5" s="1"/>
      <c r="Y5" s="1"/>
      <c r="Z5" s="1"/>
    </row>
    <row r="6" spans="1:26" ht="86.1" customHeight="1" x14ac:dyDescent="0.25">
      <c r="A6" s="48"/>
      <c r="B6" s="18" t="s">
        <v>53</v>
      </c>
      <c r="C6" s="19" t="s">
        <v>54</v>
      </c>
      <c r="D6" s="19" t="s">
        <v>55</v>
      </c>
      <c r="E6" s="19" t="s">
        <v>56</v>
      </c>
      <c r="F6" s="36" t="s">
        <v>112</v>
      </c>
      <c r="G6" s="36" t="s">
        <v>28</v>
      </c>
      <c r="H6" s="37" t="s">
        <v>93</v>
      </c>
      <c r="I6" s="28">
        <v>46257</v>
      </c>
      <c r="J6" s="37" t="s">
        <v>94</v>
      </c>
      <c r="K6" s="19" t="s">
        <v>28</v>
      </c>
      <c r="L6" s="37" t="s">
        <v>95</v>
      </c>
      <c r="M6" s="28">
        <v>46262</v>
      </c>
      <c r="N6" s="23" t="s">
        <v>156</v>
      </c>
      <c r="O6" s="23" t="s">
        <v>28</v>
      </c>
      <c r="P6" s="35" t="s">
        <v>95</v>
      </c>
      <c r="Q6" s="26">
        <v>46262</v>
      </c>
      <c r="R6" s="23" t="s">
        <v>156</v>
      </c>
      <c r="S6" s="1"/>
      <c r="T6" s="1"/>
      <c r="U6" s="1"/>
      <c r="V6" s="1"/>
      <c r="W6" s="1"/>
      <c r="X6" s="1"/>
      <c r="Y6" s="1"/>
      <c r="Z6" s="1"/>
    </row>
    <row r="7" spans="1:26" ht="122.25" customHeight="1" x14ac:dyDescent="0.25">
      <c r="A7" s="48"/>
      <c r="B7" s="18" t="s">
        <v>57</v>
      </c>
      <c r="C7" s="19" t="s">
        <v>58</v>
      </c>
      <c r="D7" s="19" t="s">
        <v>113</v>
      </c>
      <c r="E7" s="19" t="s">
        <v>114</v>
      </c>
      <c r="F7" s="19" t="s">
        <v>59</v>
      </c>
      <c r="G7" s="19" t="s">
        <v>28</v>
      </c>
      <c r="H7" s="20" t="s">
        <v>95</v>
      </c>
      <c r="I7" s="28">
        <v>46260</v>
      </c>
      <c r="J7" s="20" t="s">
        <v>94</v>
      </c>
      <c r="K7" s="19" t="s">
        <v>28</v>
      </c>
      <c r="L7" s="37" t="s">
        <v>95</v>
      </c>
      <c r="M7" s="28">
        <v>46262</v>
      </c>
      <c r="N7" s="23" t="s">
        <v>156</v>
      </c>
      <c r="O7" s="23" t="s">
        <v>28</v>
      </c>
      <c r="P7" s="35" t="s">
        <v>95</v>
      </c>
      <c r="Q7" s="26">
        <v>46262</v>
      </c>
      <c r="R7" s="23" t="s">
        <v>156</v>
      </c>
      <c r="S7" s="1"/>
      <c r="T7" s="1"/>
      <c r="U7" s="1"/>
      <c r="V7" s="1"/>
      <c r="W7" s="1"/>
      <c r="X7" s="1"/>
      <c r="Y7" s="1"/>
      <c r="Z7" s="1"/>
    </row>
    <row r="8" spans="1:26" ht="86.1" customHeight="1" x14ac:dyDescent="0.25">
      <c r="A8" s="49" t="s">
        <v>60</v>
      </c>
      <c r="B8" s="20" t="s">
        <v>61</v>
      </c>
      <c r="C8" s="21" t="s">
        <v>62</v>
      </c>
      <c r="D8" s="21" t="s">
        <v>63</v>
      </c>
      <c r="E8" s="21" t="s">
        <v>64</v>
      </c>
      <c r="F8" s="21" t="s">
        <v>117</v>
      </c>
      <c r="G8" s="19" t="s">
        <v>28</v>
      </c>
      <c r="H8" s="20" t="s">
        <v>93</v>
      </c>
      <c r="I8" s="28">
        <v>46260</v>
      </c>
      <c r="J8" s="20" t="s">
        <v>94</v>
      </c>
      <c r="K8" s="19" t="s">
        <v>28</v>
      </c>
      <c r="L8" s="37" t="s">
        <v>95</v>
      </c>
      <c r="M8" s="28">
        <v>46262</v>
      </c>
      <c r="N8" s="23" t="s">
        <v>156</v>
      </c>
      <c r="O8" s="23" t="s">
        <v>28</v>
      </c>
      <c r="P8" s="35" t="s">
        <v>95</v>
      </c>
      <c r="Q8" s="26">
        <v>46262</v>
      </c>
      <c r="R8" s="23" t="s">
        <v>156</v>
      </c>
      <c r="S8" s="1"/>
      <c r="T8" s="1"/>
      <c r="U8" s="1"/>
      <c r="V8" s="1"/>
      <c r="W8" s="1"/>
      <c r="X8" s="1"/>
      <c r="Y8" s="1"/>
      <c r="Z8" s="1"/>
    </row>
    <row r="9" spans="1:26" ht="86.1" customHeight="1" x14ac:dyDescent="0.25">
      <c r="A9" s="49"/>
      <c r="B9" s="20" t="s">
        <v>65</v>
      </c>
      <c r="C9" s="21" t="s">
        <v>125</v>
      </c>
      <c r="D9" s="21" t="s">
        <v>126</v>
      </c>
      <c r="E9" s="21" t="s">
        <v>66</v>
      </c>
      <c r="F9" s="21" t="s">
        <v>127</v>
      </c>
      <c r="G9" s="19" t="s">
        <v>28</v>
      </c>
      <c r="H9" s="20" t="s">
        <v>93</v>
      </c>
      <c r="I9" s="28">
        <v>46260</v>
      </c>
      <c r="J9" s="20" t="s">
        <v>94</v>
      </c>
      <c r="K9" s="19" t="s">
        <v>28</v>
      </c>
      <c r="L9" s="37" t="s">
        <v>95</v>
      </c>
      <c r="M9" s="28">
        <v>46262</v>
      </c>
      <c r="N9" s="23" t="s">
        <v>156</v>
      </c>
      <c r="O9" s="23" t="s">
        <v>28</v>
      </c>
      <c r="P9" s="35" t="s">
        <v>95</v>
      </c>
      <c r="Q9" s="26">
        <v>46262</v>
      </c>
      <c r="R9" s="23" t="s">
        <v>156</v>
      </c>
      <c r="S9" s="1"/>
      <c r="T9" s="1"/>
      <c r="U9" s="1"/>
      <c r="V9" s="1"/>
      <c r="W9" s="1"/>
      <c r="X9" s="1"/>
      <c r="Y9" s="1"/>
      <c r="Z9" s="1"/>
    </row>
    <row r="10" spans="1:26" ht="95.25" customHeight="1" x14ac:dyDescent="0.25">
      <c r="A10" s="49"/>
      <c r="B10" s="20" t="s">
        <v>67</v>
      </c>
      <c r="C10" s="21" t="s">
        <v>138</v>
      </c>
      <c r="D10" s="21" t="s">
        <v>131</v>
      </c>
      <c r="E10" s="21" t="s">
        <v>132</v>
      </c>
      <c r="F10" s="21" t="s">
        <v>133</v>
      </c>
      <c r="G10" s="19" t="s">
        <v>28</v>
      </c>
      <c r="H10" s="20" t="s">
        <v>93</v>
      </c>
      <c r="I10" s="28">
        <v>46261</v>
      </c>
      <c r="J10" s="20" t="s">
        <v>94</v>
      </c>
      <c r="K10" s="19" t="s">
        <v>28</v>
      </c>
      <c r="L10" s="37" t="s">
        <v>95</v>
      </c>
      <c r="M10" s="28">
        <v>46262</v>
      </c>
      <c r="N10" s="23" t="s">
        <v>156</v>
      </c>
      <c r="O10" s="23" t="s">
        <v>28</v>
      </c>
      <c r="P10" s="35" t="s">
        <v>95</v>
      </c>
      <c r="Q10" s="26">
        <v>46262</v>
      </c>
      <c r="R10" s="23" t="s">
        <v>156</v>
      </c>
      <c r="S10" s="1"/>
      <c r="T10" s="1"/>
      <c r="U10" s="1"/>
      <c r="V10" s="1"/>
      <c r="W10" s="1"/>
      <c r="X10" s="1"/>
      <c r="Y10" s="1"/>
      <c r="Z10" s="1"/>
    </row>
    <row r="11" spans="1:26" ht="86.1" customHeight="1" x14ac:dyDescent="0.25">
      <c r="A11" s="49" t="s">
        <v>68</v>
      </c>
      <c r="B11" s="20" t="s">
        <v>69</v>
      </c>
      <c r="C11" s="21" t="s">
        <v>70</v>
      </c>
      <c r="D11" s="21" t="s">
        <v>71</v>
      </c>
      <c r="E11" s="21" t="s">
        <v>141</v>
      </c>
      <c r="F11" s="21" t="s">
        <v>142</v>
      </c>
      <c r="G11" s="19" t="s">
        <v>33</v>
      </c>
      <c r="H11" s="20" t="s">
        <v>93</v>
      </c>
      <c r="I11" s="28">
        <v>46262</v>
      </c>
      <c r="J11" s="20" t="s">
        <v>143</v>
      </c>
      <c r="K11" s="19" t="s">
        <v>28</v>
      </c>
      <c r="L11" s="20" t="s">
        <v>95</v>
      </c>
      <c r="M11" s="28">
        <v>46262</v>
      </c>
      <c r="N11" s="20" t="s">
        <v>144</v>
      </c>
      <c r="O11" s="19" t="s">
        <v>28</v>
      </c>
      <c r="P11" s="37" t="s">
        <v>95</v>
      </c>
      <c r="Q11" s="28">
        <v>46262</v>
      </c>
      <c r="R11" s="23" t="s">
        <v>156</v>
      </c>
      <c r="S11" s="1"/>
      <c r="T11" s="1"/>
      <c r="U11" s="1"/>
      <c r="V11" s="1"/>
      <c r="W11" s="1"/>
      <c r="X11" s="1"/>
      <c r="Y11" s="1"/>
      <c r="Z11" s="1"/>
    </row>
    <row r="12" spans="1:26" ht="86.1" customHeight="1" x14ac:dyDescent="0.25">
      <c r="A12" s="49"/>
      <c r="B12" s="20" t="s">
        <v>72</v>
      </c>
      <c r="C12" s="21" t="s">
        <v>73</v>
      </c>
      <c r="D12" s="21" t="s">
        <v>74</v>
      </c>
      <c r="E12" s="21" t="s">
        <v>75</v>
      </c>
      <c r="F12" s="21" t="s">
        <v>76</v>
      </c>
      <c r="G12" s="19" t="s">
        <v>33</v>
      </c>
      <c r="H12" s="20" t="s">
        <v>93</v>
      </c>
      <c r="I12" s="28">
        <v>46262</v>
      </c>
      <c r="J12" s="20" t="s">
        <v>143</v>
      </c>
      <c r="K12" s="19" t="s">
        <v>28</v>
      </c>
      <c r="L12" s="20" t="s">
        <v>95</v>
      </c>
      <c r="M12" s="28">
        <v>46262</v>
      </c>
      <c r="N12" s="20" t="s">
        <v>144</v>
      </c>
      <c r="O12" s="19" t="s">
        <v>28</v>
      </c>
      <c r="P12" s="37" t="s">
        <v>95</v>
      </c>
      <c r="Q12" s="28">
        <v>46262</v>
      </c>
      <c r="R12" s="23" t="s">
        <v>156</v>
      </c>
      <c r="S12" s="1"/>
      <c r="T12" s="1"/>
      <c r="U12" s="1"/>
      <c r="V12" s="1"/>
      <c r="W12" s="1"/>
      <c r="X12" s="1"/>
      <c r="Y12" s="1"/>
      <c r="Z12" s="1"/>
    </row>
    <row r="13" spans="1:26" ht="165.75" customHeight="1" x14ac:dyDescent="0.25">
      <c r="A13" s="30" t="s">
        <v>151</v>
      </c>
      <c r="B13" s="25" t="s">
        <v>77</v>
      </c>
      <c r="C13" s="24" t="s">
        <v>152</v>
      </c>
      <c r="D13" s="24" t="s">
        <v>153</v>
      </c>
      <c r="E13" s="24" t="s">
        <v>154</v>
      </c>
      <c r="F13" s="24" t="s">
        <v>155</v>
      </c>
      <c r="G13" s="29" t="s">
        <v>28</v>
      </c>
      <c r="H13" s="25" t="s">
        <v>93</v>
      </c>
      <c r="I13" s="77">
        <v>46262</v>
      </c>
      <c r="J13" s="25" t="s">
        <v>94</v>
      </c>
      <c r="K13" s="78" t="s">
        <v>28</v>
      </c>
      <c r="L13" s="79" t="s">
        <v>95</v>
      </c>
      <c r="M13" s="80">
        <v>46262</v>
      </c>
      <c r="N13" s="81" t="s">
        <v>156</v>
      </c>
      <c r="O13" s="78" t="s">
        <v>28</v>
      </c>
      <c r="P13" s="81" t="s">
        <v>95</v>
      </c>
      <c r="Q13" s="82">
        <v>46262</v>
      </c>
      <c r="R13" s="81" t="s">
        <v>156</v>
      </c>
      <c r="S13" s="1"/>
      <c r="T13" s="1"/>
      <c r="U13" s="1"/>
      <c r="V13" s="1"/>
      <c r="W13" s="1"/>
      <c r="X13" s="1"/>
      <c r="Y13" s="1"/>
      <c r="Z13" s="1"/>
    </row>
    <row r="14" spans="1:26" ht="12.75" customHeight="1" x14ac:dyDescent="0.25">
      <c r="A14" s="14"/>
      <c r="B14" s="14"/>
      <c r="C14" s="14"/>
      <c r="D14" s="14"/>
      <c r="E14" s="14"/>
      <c r="F14" s="14"/>
      <c r="G14" s="10"/>
      <c r="H14" s="14"/>
      <c r="I14" s="14"/>
      <c r="J14" s="14"/>
      <c r="K14" s="10"/>
      <c r="L14" s="14"/>
      <c r="M14" s="14"/>
      <c r="N14" s="14"/>
      <c r="O14" s="10"/>
      <c r="P14" s="14"/>
      <c r="Q14" s="14"/>
      <c r="R14" s="14"/>
      <c r="S14" s="1"/>
      <c r="T14" s="1"/>
      <c r="U14" s="1"/>
      <c r="V14" s="1"/>
      <c r="W14" s="1"/>
      <c r="X14" s="1"/>
      <c r="Y14" s="1"/>
      <c r="Z14" s="1"/>
    </row>
    <row r="15" spans="1:26" ht="12.75" customHeight="1" x14ac:dyDescent="0.25">
      <c r="A15" s="14"/>
      <c r="B15" s="14"/>
      <c r="C15" s="14"/>
      <c r="D15" s="14"/>
      <c r="E15" s="14"/>
      <c r="F15" s="14"/>
      <c r="G15" s="10"/>
      <c r="H15" s="14"/>
      <c r="I15" s="14"/>
      <c r="J15" s="14"/>
      <c r="K15" s="10"/>
      <c r="L15" s="14"/>
      <c r="M15" s="14"/>
      <c r="N15" s="14"/>
      <c r="O15" s="10"/>
      <c r="P15" s="14"/>
      <c r="Q15" s="14"/>
      <c r="R15" s="14"/>
      <c r="S15" s="1"/>
      <c r="T15" s="1"/>
      <c r="U15" s="1"/>
      <c r="V15" s="1"/>
      <c r="W15" s="1"/>
      <c r="X15" s="1"/>
      <c r="Y15" s="1"/>
      <c r="Z15" s="1"/>
    </row>
    <row r="16" spans="1:26" ht="12.75" customHeight="1" x14ac:dyDescent="0.25">
      <c r="A16" s="14"/>
      <c r="B16" s="14"/>
      <c r="C16" s="14"/>
      <c r="D16" s="14"/>
      <c r="E16" s="14"/>
      <c r="F16" s="14"/>
      <c r="G16" s="10"/>
      <c r="H16" s="14"/>
      <c r="I16" s="14"/>
      <c r="J16" s="14"/>
      <c r="K16" s="10"/>
      <c r="L16" s="14"/>
      <c r="M16" s="14"/>
      <c r="N16" s="14"/>
      <c r="O16" s="10"/>
      <c r="P16" s="14"/>
      <c r="Q16" s="14"/>
      <c r="R16" s="14"/>
      <c r="S16" s="1"/>
      <c r="T16" s="1"/>
      <c r="U16" s="1"/>
      <c r="V16" s="1"/>
      <c r="W16" s="1"/>
      <c r="X16" s="1"/>
      <c r="Y16" s="1"/>
      <c r="Z16" s="1"/>
    </row>
    <row r="17" spans="1:26" ht="12.75" customHeight="1" x14ac:dyDescent="0.25">
      <c r="A17" s="14"/>
      <c r="B17" s="14"/>
      <c r="C17" s="14"/>
      <c r="D17" s="14"/>
      <c r="E17" s="14"/>
      <c r="F17" s="14"/>
      <c r="G17" s="10"/>
      <c r="H17" s="14"/>
      <c r="I17" s="14"/>
      <c r="J17" s="14"/>
      <c r="K17" s="10"/>
      <c r="L17" s="14"/>
      <c r="M17" s="14"/>
      <c r="N17" s="14"/>
      <c r="O17" s="10"/>
      <c r="P17" s="14"/>
      <c r="Q17" s="14"/>
      <c r="R17" s="14"/>
      <c r="S17" s="1"/>
      <c r="T17" s="1"/>
      <c r="U17" s="1"/>
      <c r="V17" s="1"/>
      <c r="W17" s="1"/>
      <c r="X17" s="1"/>
      <c r="Y17" s="1"/>
      <c r="Z17" s="1"/>
    </row>
    <row r="18" spans="1:26" ht="12.75" customHeight="1" x14ac:dyDescent="0.25">
      <c r="A18" s="14"/>
      <c r="B18" s="14"/>
      <c r="C18" s="14"/>
      <c r="D18" s="14"/>
      <c r="E18" s="14"/>
      <c r="F18" s="14"/>
      <c r="G18" s="10"/>
      <c r="H18" s="14"/>
      <c r="I18" s="14"/>
      <c r="J18" s="14"/>
      <c r="K18" s="10"/>
      <c r="L18" s="14"/>
      <c r="M18" s="14"/>
      <c r="N18" s="14"/>
      <c r="O18" s="10"/>
      <c r="P18" s="14"/>
      <c r="Q18" s="14"/>
      <c r="R18" s="14"/>
      <c r="S18" s="1"/>
      <c r="T18" s="1"/>
      <c r="U18" s="1"/>
      <c r="V18" s="1"/>
      <c r="W18" s="1"/>
      <c r="X18" s="1"/>
      <c r="Y18" s="1"/>
      <c r="Z18" s="1"/>
    </row>
    <row r="19" spans="1:26" ht="12.75" customHeight="1" x14ac:dyDescent="0.25">
      <c r="A19" s="14"/>
      <c r="B19" s="14"/>
      <c r="C19" s="14"/>
      <c r="D19" s="14"/>
      <c r="E19" s="14"/>
      <c r="F19" s="14"/>
      <c r="G19" s="10"/>
      <c r="H19" s="14"/>
      <c r="I19" s="14"/>
      <c r="J19" s="14"/>
      <c r="K19" s="10"/>
      <c r="L19" s="14"/>
      <c r="M19" s="14"/>
      <c r="N19" s="14"/>
      <c r="O19" s="10"/>
      <c r="P19" s="14"/>
      <c r="Q19" s="14"/>
      <c r="R19" s="14"/>
      <c r="S19" s="1"/>
      <c r="T19" s="1"/>
      <c r="U19" s="1"/>
      <c r="V19" s="1"/>
      <c r="W19" s="1"/>
      <c r="X19" s="1"/>
      <c r="Y19" s="1"/>
      <c r="Z19" s="1"/>
    </row>
    <row r="20" spans="1:26" ht="12.75" customHeight="1" x14ac:dyDescent="0.25">
      <c r="A20" s="14"/>
      <c r="B20" s="14"/>
      <c r="C20" s="14"/>
      <c r="D20" s="14"/>
      <c r="E20" s="14"/>
      <c r="F20" s="14"/>
      <c r="G20" s="10"/>
      <c r="H20" s="14"/>
      <c r="I20" s="14"/>
      <c r="J20" s="14"/>
      <c r="K20" s="10"/>
      <c r="L20" s="14"/>
      <c r="M20" s="14"/>
      <c r="N20" s="14"/>
      <c r="O20" s="10"/>
      <c r="P20" s="14"/>
      <c r="Q20" s="14"/>
      <c r="R20" s="14"/>
      <c r="S20" s="1"/>
      <c r="T20" s="1"/>
      <c r="U20" s="1"/>
      <c r="V20" s="1"/>
      <c r="W20" s="1"/>
      <c r="X20" s="1"/>
      <c r="Y20" s="1"/>
      <c r="Z20" s="1"/>
    </row>
    <row r="21" spans="1:26" ht="12.75" customHeight="1" x14ac:dyDescent="0.25">
      <c r="A21" s="14"/>
      <c r="B21" s="14"/>
      <c r="C21" s="14"/>
      <c r="D21" s="14"/>
      <c r="E21" s="14"/>
      <c r="F21" s="14"/>
      <c r="G21" s="10"/>
      <c r="H21" s="14"/>
      <c r="I21" s="14"/>
      <c r="J21" s="14"/>
      <c r="K21" s="10"/>
      <c r="L21" s="14"/>
      <c r="M21" s="14"/>
      <c r="N21" s="14"/>
      <c r="O21" s="10"/>
      <c r="P21" s="14"/>
      <c r="Q21" s="14"/>
      <c r="R21" s="14"/>
      <c r="S21" s="1"/>
      <c r="T21" s="1"/>
      <c r="U21" s="1"/>
      <c r="V21" s="1"/>
      <c r="W21" s="1"/>
      <c r="X21" s="1"/>
      <c r="Y21" s="1"/>
      <c r="Z21" s="1"/>
    </row>
    <row r="22" spans="1:26" ht="12.75" customHeight="1" x14ac:dyDescent="0.25">
      <c r="A22" s="14"/>
      <c r="B22" s="14"/>
      <c r="C22" s="14"/>
      <c r="D22" s="14"/>
      <c r="E22" s="14"/>
      <c r="F22" s="14"/>
      <c r="G22" s="10"/>
      <c r="H22" s="14"/>
      <c r="I22" s="14"/>
      <c r="J22" s="14"/>
      <c r="K22" s="10"/>
      <c r="L22" s="14"/>
      <c r="M22" s="14"/>
      <c r="N22" s="14"/>
      <c r="O22" s="10"/>
      <c r="P22" s="14"/>
      <c r="Q22" s="14"/>
      <c r="R22" s="14"/>
      <c r="S22" s="1"/>
      <c r="T22" s="1"/>
      <c r="U22" s="1"/>
      <c r="V22" s="1"/>
      <c r="W22" s="1"/>
      <c r="X22" s="1"/>
      <c r="Y22" s="1"/>
      <c r="Z22" s="1"/>
    </row>
    <row r="23" spans="1:26" ht="12.75" customHeight="1" x14ac:dyDescent="0.25">
      <c r="A23" s="14"/>
      <c r="B23" s="14"/>
      <c r="C23" s="14"/>
      <c r="D23" s="14"/>
      <c r="E23" s="14"/>
      <c r="F23" s="14"/>
      <c r="G23" s="10"/>
      <c r="H23" s="14"/>
      <c r="I23" s="14"/>
      <c r="J23" s="14"/>
      <c r="K23" s="10"/>
      <c r="L23" s="14"/>
      <c r="M23" s="14"/>
      <c r="N23" s="14"/>
      <c r="O23" s="10"/>
      <c r="P23" s="14"/>
      <c r="Q23" s="14"/>
      <c r="R23" s="14"/>
      <c r="S23" s="1"/>
      <c r="T23" s="1"/>
      <c r="U23" s="1"/>
      <c r="V23" s="1"/>
      <c r="W23" s="1"/>
      <c r="X23" s="1"/>
      <c r="Y23" s="1"/>
      <c r="Z23" s="1"/>
    </row>
    <row r="24" spans="1:26" ht="12.75" customHeight="1" x14ac:dyDescent="0.25">
      <c r="A24" s="14"/>
      <c r="B24" s="14"/>
      <c r="C24" s="14"/>
      <c r="D24" s="14"/>
      <c r="E24" s="14"/>
      <c r="F24" s="14"/>
      <c r="G24" s="10"/>
      <c r="H24" s="14"/>
      <c r="I24" s="14"/>
      <c r="J24" s="14"/>
      <c r="K24" s="10"/>
      <c r="L24" s="14"/>
      <c r="M24" s="14"/>
      <c r="N24" s="14"/>
      <c r="O24" s="10"/>
      <c r="P24" s="14"/>
      <c r="Q24" s="14"/>
      <c r="R24" s="14"/>
      <c r="S24" s="1"/>
      <c r="T24" s="1"/>
      <c r="U24" s="1"/>
      <c r="V24" s="1"/>
      <c r="W24" s="1"/>
      <c r="X24" s="1"/>
      <c r="Y24" s="1"/>
      <c r="Z24" s="1"/>
    </row>
    <row r="25" spans="1:26" ht="12.75" customHeight="1" x14ac:dyDescent="0.25">
      <c r="A25" s="14"/>
      <c r="B25" s="14"/>
      <c r="C25" s="14"/>
      <c r="D25" s="14"/>
      <c r="E25" s="14"/>
      <c r="F25" s="14"/>
      <c r="G25" s="10"/>
      <c r="H25" s="14"/>
      <c r="I25" s="14"/>
      <c r="J25" s="14"/>
      <c r="K25" s="10"/>
      <c r="L25" s="14"/>
      <c r="M25" s="14"/>
      <c r="N25" s="14"/>
      <c r="O25" s="10"/>
      <c r="P25" s="14"/>
      <c r="Q25" s="14"/>
      <c r="R25" s="14"/>
      <c r="S25" s="1"/>
      <c r="T25" s="1"/>
      <c r="U25" s="1"/>
      <c r="V25" s="1"/>
      <c r="W25" s="1"/>
      <c r="X25" s="1"/>
      <c r="Y25" s="1"/>
      <c r="Z25" s="1"/>
    </row>
    <row r="26" spans="1:26" ht="12.75" customHeight="1" x14ac:dyDescent="0.25">
      <c r="A26" s="14"/>
      <c r="B26" s="14"/>
      <c r="C26" s="14"/>
      <c r="D26" s="14"/>
      <c r="E26" s="14"/>
      <c r="F26" s="14"/>
      <c r="G26" s="10"/>
      <c r="H26" s="14"/>
      <c r="I26" s="14"/>
      <c r="J26" s="14"/>
      <c r="K26" s="10"/>
      <c r="L26" s="14"/>
      <c r="M26" s="14"/>
      <c r="N26" s="14"/>
      <c r="O26" s="10"/>
      <c r="P26" s="14"/>
      <c r="Q26" s="14"/>
      <c r="R26" s="14"/>
      <c r="S26" s="1"/>
      <c r="T26" s="1"/>
      <c r="U26" s="1"/>
      <c r="V26" s="1"/>
      <c r="W26" s="1"/>
      <c r="X26" s="1"/>
      <c r="Y26" s="1"/>
      <c r="Z26" s="1"/>
    </row>
    <row r="27" spans="1:26" ht="12.75" customHeight="1" x14ac:dyDescent="0.25">
      <c r="A27" s="14"/>
      <c r="B27" s="14"/>
      <c r="C27" s="14"/>
      <c r="D27" s="14"/>
      <c r="E27" s="14"/>
      <c r="F27" s="14"/>
      <c r="G27" s="10"/>
      <c r="H27" s="14"/>
      <c r="I27" s="14"/>
      <c r="J27" s="14"/>
      <c r="K27" s="10"/>
      <c r="L27" s="14"/>
      <c r="M27" s="14"/>
      <c r="N27" s="14"/>
      <c r="O27" s="10"/>
      <c r="P27" s="14"/>
      <c r="Q27" s="14"/>
      <c r="R27" s="14"/>
      <c r="S27" s="1"/>
      <c r="T27" s="1"/>
      <c r="U27" s="1"/>
      <c r="V27" s="1"/>
      <c r="W27" s="1"/>
      <c r="X27" s="1"/>
      <c r="Y27" s="1"/>
      <c r="Z27" s="1"/>
    </row>
    <row r="28" spans="1:26" ht="12.75" customHeight="1" x14ac:dyDescent="0.25">
      <c r="A28" s="14"/>
      <c r="B28" s="14"/>
      <c r="C28" s="14"/>
      <c r="D28" s="14"/>
      <c r="E28" s="14"/>
      <c r="F28" s="14"/>
      <c r="G28" s="10"/>
      <c r="H28" s="14"/>
      <c r="I28" s="14"/>
      <c r="J28" s="14"/>
      <c r="K28" s="10"/>
      <c r="L28" s="14"/>
      <c r="M28" s="14"/>
      <c r="N28" s="14"/>
      <c r="O28" s="10"/>
      <c r="P28" s="14"/>
      <c r="Q28" s="14"/>
      <c r="R28" s="14"/>
      <c r="S28" s="1"/>
      <c r="T28" s="1"/>
      <c r="U28" s="1"/>
      <c r="V28" s="1"/>
      <c r="W28" s="1"/>
      <c r="X28" s="1"/>
      <c r="Y28" s="1"/>
      <c r="Z28" s="1"/>
    </row>
    <row r="29" spans="1:26" ht="12.75" customHeight="1" x14ac:dyDescent="0.25">
      <c r="A29" s="14"/>
      <c r="B29" s="14"/>
      <c r="C29" s="14"/>
      <c r="D29" s="14"/>
      <c r="E29" s="14"/>
      <c r="F29" s="14"/>
      <c r="G29" s="10"/>
      <c r="H29" s="14"/>
      <c r="I29" s="14"/>
      <c r="J29" s="14"/>
      <c r="K29" s="10"/>
      <c r="L29" s="14"/>
      <c r="M29" s="14"/>
      <c r="N29" s="14"/>
      <c r="O29" s="10"/>
      <c r="P29" s="14"/>
      <c r="Q29" s="14"/>
      <c r="R29" s="14"/>
      <c r="S29" s="1"/>
      <c r="T29" s="1"/>
      <c r="U29" s="1"/>
      <c r="V29" s="1"/>
      <c r="W29" s="1"/>
      <c r="X29" s="1"/>
      <c r="Y29" s="1"/>
      <c r="Z29" s="1"/>
    </row>
    <row r="30" spans="1:26" ht="12.75" customHeight="1" x14ac:dyDescent="0.25">
      <c r="A30" s="14"/>
      <c r="B30" s="14"/>
      <c r="C30" s="14"/>
      <c r="D30" s="14"/>
      <c r="E30" s="14"/>
      <c r="F30" s="14"/>
      <c r="G30" s="10"/>
      <c r="H30" s="14"/>
      <c r="I30" s="14"/>
      <c r="J30" s="14"/>
      <c r="K30" s="10"/>
      <c r="L30" s="14"/>
      <c r="M30" s="14"/>
      <c r="N30" s="14"/>
      <c r="O30" s="10"/>
      <c r="P30" s="14"/>
      <c r="Q30" s="14"/>
      <c r="R30" s="14"/>
      <c r="S30" s="1"/>
      <c r="T30" s="1"/>
      <c r="U30" s="1"/>
      <c r="V30" s="1"/>
      <c r="W30" s="1"/>
      <c r="X30" s="1"/>
      <c r="Y30" s="1"/>
      <c r="Z30" s="1"/>
    </row>
    <row r="31" spans="1:26" ht="12.75" customHeight="1" x14ac:dyDescent="0.25">
      <c r="A31" s="14"/>
      <c r="B31" s="14"/>
      <c r="C31" s="14"/>
      <c r="D31" s="14"/>
      <c r="E31" s="14"/>
      <c r="F31" s="14"/>
      <c r="G31" s="10"/>
      <c r="H31" s="14"/>
      <c r="I31" s="14"/>
      <c r="J31" s="14"/>
      <c r="K31" s="10"/>
      <c r="L31" s="14"/>
      <c r="M31" s="14"/>
      <c r="N31" s="14"/>
      <c r="O31" s="10"/>
      <c r="P31" s="14"/>
      <c r="Q31" s="14"/>
      <c r="R31" s="14"/>
      <c r="S31" s="1"/>
      <c r="T31" s="1"/>
      <c r="U31" s="1"/>
      <c r="V31" s="1"/>
      <c r="W31" s="1"/>
      <c r="X31" s="1"/>
      <c r="Y31" s="1"/>
      <c r="Z31" s="1"/>
    </row>
    <row r="32" spans="1:26" ht="12.75" customHeight="1" x14ac:dyDescent="0.25">
      <c r="A32" s="14"/>
      <c r="B32" s="14"/>
      <c r="C32" s="14"/>
      <c r="D32" s="14"/>
      <c r="E32" s="14"/>
      <c r="F32" s="14"/>
      <c r="G32" s="10"/>
      <c r="H32" s="14"/>
      <c r="I32" s="14"/>
      <c r="J32" s="14"/>
      <c r="K32" s="10"/>
      <c r="L32" s="14"/>
      <c r="M32" s="14"/>
      <c r="N32" s="14"/>
      <c r="O32" s="10"/>
      <c r="P32" s="14"/>
      <c r="Q32" s="14"/>
      <c r="R32" s="14"/>
      <c r="S32" s="1"/>
      <c r="T32" s="1"/>
      <c r="U32" s="1"/>
      <c r="V32" s="1"/>
      <c r="W32" s="1"/>
      <c r="X32" s="1"/>
      <c r="Y32" s="1"/>
      <c r="Z32" s="1"/>
    </row>
    <row r="33" spans="1:26" ht="12.75" customHeight="1" x14ac:dyDescent="0.25">
      <c r="A33" s="14"/>
      <c r="B33" s="14"/>
      <c r="C33" s="14"/>
      <c r="D33" s="14"/>
      <c r="E33" s="14"/>
      <c r="F33" s="14"/>
      <c r="G33" s="10"/>
      <c r="H33" s="14"/>
      <c r="I33" s="14"/>
      <c r="J33" s="14"/>
      <c r="K33" s="10"/>
      <c r="L33" s="14"/>
      <c r="M33" s="14"/>
      <c r="N33" s="14"/>
      <c r="O33" s="10"/>
      <c r="P33" s="14"/>
      <c r="Q33" s="14"/>
      <c r="R33" s="14"/>
      <c r="S33" s="1"/>
      <c r="T33" s="1"/>
      <c r="U33" s="1"/>
      <c r="V33" s="1"/>
      <c r="W33" s="1"/>
      <c r="X33" s="1"/>
      <c r="Y33" s="1"/>
      <c r="Z33" s="1"/>
    </row>
    <row r="34" spans="1:26" ht="12.75" customHeight="1" x14ac:dyDescent="0.25">
      <c r="A34" s="14"/>
      <c r="B34" s="14"/>
      <c r="C34" s="14"/>
      <c r="D34" s="14"/>
      <c r="E34" s="14"/>
      <c r="F34" s="14"/>
      <c r="G34" s="10"/>
      <c r="H34" s="14"/>
      <c r="I34" s="14"/>
      <c r="J34" s="14"/>
      <c r="K34" s="10"/>
      <c r="L34" s="14"/>
      <c r="M34" s="14"/>
      <c r="N34" s="14"/>
      <c r="O34" s="10"/>
      <c r="P34" s="14"/>
      <c r="Q34" s="14"/>
      <c r="R34" s="14"/>
      <c r="S34" s="1"/>
      <c r="T34" s="1"/>
      <c r="U34" s="1"/>
      <c r="V34" s="1"/>
      <c r="W34" s="1"/>
      <c r="X34" s="1"/>
      <c r="Y34" s="1"/>
      <c r="Z34" s="1"/>
    </row>
    <row r="35" spans="1:26" ht="12.75" customHeight="1" x14ac:dyDescent="0.25">
      <c r="A35" s="14"/>
      <c r="B35" s="14"/>
      <c r="C35" s="14"/>
      <c r="D35" s="14"/>
      <c r="E35" s="14"/>
      <c r="F35" s="14"/>
      <c r="G35" s="10"/>
      <c r="H35" s="14"/>
      <c r="I35" s="14"/>
      <c r="J35" s="14"/>
      <c r="K35" s="10"/>
      <c r="L35" s="14"/>
      <c r="M35" s="14"/>
      <c r="N35" s="14"/>
      <c r="O35" s="10"/>
      <c r="P35" s="14"/>
      <c r="Q35" s="14"/>
      <c r="R35" s="14"/>
      <c r="S35" s="1"/>
      <c r="T35" s="1"/>
      <c r="U35" s="1"/>
      <c r="V35" s="1"/>
      <c r="W35" s="1"/>
      <c r="X35" s="1"/>
      <c r="Y35" s="1"/>
      <c r="Z35" s="1"/>
    </row>
    <row r="36" spans="1:26" ht="12.75" customHeight="1" x14ac:dyDescent="0.25">
      <c r="A36" s="14"/>
      <c r="B36" s="14"/>
      <c r="C36" s="14"/>
      <c r="D36" s="14"/>
      <c r="E36" s="14"/>
      <c r="F36" s="14"/>
      <c r="G36" s="10"/>
      <c r="H36" s="14"/>
      <c r="I36" s="14"/>
      <c r="J36" s="14"/>
      <c r="K36" s="10"/>
      <c r="L36" s="14"/>
      <c r="M36" s="14"/>
      <c r="N36" s="14"/>
      <c r="O36" s="10"/>
      <c r="P36" s="14"/>
      <c r="Q36" s="14"/>
      <c r="R36" s="14"/>
      <c r="S36" s="1"/>
      <c r="T36" s="1"/>
      <c r="U36" s="1"/>
      <c r="V36" s="1"/>
      <c r="W36" s="1"/>
      <c r="X36" s="1"/>
      <c r="Y36" s="1"/>
      <c r="Z36" s="1"/>
    </row>
    <row r="37" spans="1:26" ht="12.75" customHeight="1" x14ac:dyDescent="0.25">
      <c r="A37" s="14"/>
      <c r="B37" s="14"/>
      <c r="C37" s="14"/>
      <c r="D37" s="14"/>
      <c r="E37" s="14"/>
      <c r="F37" s="14"/>
      <c r="G37" s="10"/>
      <c r="H37" s="14"/>
      <c r="I37" s="14"/>
      <c r="J37" s="14"/>
      <c r="K37" s="10"/>
      <c r="L37" s="14"/>
      <c r="M37" s="14"/>
      <c r="N37" s="14"/>
      <c r="O37" s="10"/>
      <c r="P37" s="14"/>
      <c r="Q37" s="14"/>
      <c r="R37" s="14"/>
      <c r="S37" s="1"/>
      <c r="T37" s="1"/>
      <c r="U37" s="1"/>
      <c r="V37" s="1"/>
      <c r="W37" s="1"/>
      <c r="X37" s="1"/>
      <c r="Y37" s="1"/>
      <c r="Z37" s="1"/>
    </row>
    <row r="38" spans="1:26" ht="12.75" customHeight="1" x14ac:dyDescent="0.25">
      <c r="A38" s="14"/>
      <c r="B38" s="14"/>
      <c r="C38" s="14"/>
      <c r="D38" s="14"/>
      <c r="E38" s="14"/>
      <c r="F38" s="14"/>
      <c r="G38" s="10"/>
      <c r="H38" s="14"/>
      <c r="I38" s="14"/>
      <c r="J38" s="14"/>
      <c r="K38" s="10"/>
      <c r="L38" s="14"/>
      <c r="M38" s="14"/>
      <c r="N38" s="14"/>
      <c r="O38" s="10"/>
      <c r="P38" s="14"/>
      <c r="Q38" s="14"/>
      <c r="R38" s="14"/>
      <c r="S38" s="1"/>
      <c r="T38" s="1"/>
      <c r="U38" s="1"/>
      <c r="V38" s="1"/>
      <c r="W38" s="1"/>
      <c r="X38" s="1"/>
      <c r="Y38" s="1"/>
      <c r="Z38" s="1"/>
    </row>
    <row r="39" spans="1:26" ht="12.75" customHeight="1" x14ac:dyDescent="0.25">
      <c r="A39" s="14"/>
      <c r="B39" s="14"/>
      <c r="C39" s="14"/>
      <c r="D39" s="14"/>
      <c r="E39" s="14"/>
      <c r="F39" s="14"/>
      <c r="G39" s="10"/>
      <c r="H39" s="14"/>
      <c r="I39" s="14"/>
      <c r="J39" s="14"/>
      <c r="K39" s="10"/>
      <c r="L39" s="14"/>
      <c r="M39" s="14"/>
      <c r="N39" s="14"/>
      <c r="O39" s="10"/>
      <c r="P39" s="14"/>
      <c r="Q39" s="14"/>
      <c r="R39" s="14"/>
      <c r="S39" s="1"/>
      <c r="T39" s="1"/>
      <c r="U39" s="1"/>
      <c r="V39" s="1"/>
      <c r="W39" s="1"/>
      <c r="X39" s="1"/>
      <c r="Y39" s="1"/>
      <c r="Z39" s="1"/>
    </row>
    <row r="40" spans="1:26" ht="12.75" customHeight="1" x14ac:dyDescent="0.25">
      <c r="A40" s="14"/>
      <c r="B40" s="14"/>
      <c r="C40" s="14"/>
      <c r="D40" s="14"/>
      <c r="E40" s="14"/>
      <c r="F40" s="14"/>
      <c r="G40" s="10"/>
      <c r="H40" s="14"/>
      <c r="I40" s="14"/>
      <c r="J40" s="14"/>
      <c r="K40" s="10"/>
      <c r="L40" s="14"/>
      <c r="M40" s="14"/>
      <c r="N40" s="14"/>
      <c r="O40" s="10"/>
      <c r="P40" s="14"/>
      <c r="Q40" s="14"/>
      <c r="R40" s="14"/>
      <c r="S40" s="1"/>
      <c r="T40" s="1"/>
      <c r="U40" s="1"/>
      <c r="V40" s="1"/>
      <c r="W40" s="1"/>
      <c r="X40" s="1"/>
      <c r="Y40" s="1"/>
      <c r="Z40" s="1"/>
    </row>
    <row r="41" spans="1:26" ht="12.75" customHeight="1" x14ac:dyDescent="0.25">
      <c r="A41" s="14"/>
      <c r="B41" s="14"/>
      <c r="C41" s="14"/>
      <c r="D41" s="14"/>
      <c r="E41" s="14"/>
      <c r="F41" s="14"/>
      <c r="G41" s="10"/>
      <c r="H41" s="14"/>
      <c r="I41" s="14"/>
      <c r="J41" s="14"/>
      <c r="K41" s="10"/>
      <c r="L41" s="14"/>
      <c r="M41" s="14"/>
      <c r="N41" s="14"/>
      <c r="O41" s="10"/>
      <c r="P41" s="14"/>
      <c r="Q41" s="14"/>
      <c r="R41" s="14"/>
      <c r="S41" s="1"/>
      <c r="T41" s="1"/>
      <c r="U41" s="1"/>
      <c r="V41" s="1"/>
      <c r="W41" s="1"/>
      <c r="X41" s="1"/>
      <c r="Y41" s="1"/>
      <c r="Z41" s="1"/>
    </row>
    <row r="42" spans="1:26" ht="12.75" customHeight="1" x14ac:dyDescent="0.25">
      <c r="A42" s="14"/>
      <c r="B42" s="14"/>
      <c r="C42" s="14"/>
      <c r="D42" s="14"/>
      <c r="E42" s="14"/>
      <c r="F42" s="14"/>
      <c r="G42" s="10"/>
      <c r="H42" s="14"/>
      <c r="I42" s="14"/>
      <c r="J42" s="14"/>
      <c r="K42" s="10"/>
      <c r="L42" s="14"/>
      <c r="M42" s="14"/>
      <c r="N42" s="14"/>
      <c r="O42" s="10"/>
      <c r="P42" s="14"/>
      <c r="Q42" s="14"/>
      <c r="R42" s="14"/>
      <c r="S42" s="1"/>
      <c r="T42" s="1"/>
      <c r="U42" s="1"/>
      <c r="V42" s="1"/>
      <c r="W42" s="1"/>
      <c r="X42" s="1"/>
      <c r="Y42" s="1"/>
      <c r="Z42" s="1"/>
    </row>
    <row r="43" spans="1:26" ht="12.75" customHeight="1" x14ac:dyDescent="0.25">
      <c r="A43" s="14"/>
      <c r="B43" s="14"/>
      <c r="C43" s="14"/>
      <c r="D43" s="14"/>
      <c r="E43" s="14"/>
      <c r="F43" s="14"/>
      <c r="G43" s="10"/>
      <c r="H43" s="14"/>
      <c r="I43" s="14"/>
      <c r="J43" s="14"/>
      <c r="K43" s="10"/>
      <c r="L43" s="14"/>
      <c r="M43" s="14"/>
      <c r="N43" s="14"/>
      <c r="O43" s="10"/>
      <c r="P43" s="14"/>
      <c r="Q43" s="14"/>
      <c r="R43" s="14"/>
      <c r="S43" s="1"/>
      <c r="T43" s="1"/>
      <c r="U43" s="1"/>
      <c r="V43" s="1"/>
      <c r="W43" s="1"/>
      <c r="X43" s="1"/>
      <c r="Y43" s="1"/>
      <c r="Z43" s="1"/>
    </row>
    <row r="44" spans="1:26" ht="12.75" customHeight="1" x14ac:dyDescent="0.25">
      <c r="A44" s="14"/>
      <c r="B44" s="14"/>
      <c r="C44" s="14"/>
      <c r="D44" s="14"/>
      <c r="E44" s="14"/>
      <c r="F44" s="14"/>
      <c r="G44" s="10"/>
      <c r="H44" s="14"/>
      <c r="I44" s="14"/>
      <c r="J44" s="14"/>
      <c r="K44" s="10"/>
      <c r="L44" s="14"/>
      <c r="M44" s="14"/>
      <c r="N44" s="14"/>
      <c r="O44" s="10"/>
      <c r="P44" s="14"/>
      <c r="Q44" s="14"/>
      <c r="R44" s="14"/>
      <c r="S44" s="1"/>
      <c r="T44" s="1"/>
      <c r="U44" s="1"/>
      <c r="V44" s="1"/>
      <c r="W44" s="1"/>
      <c r="X44" s="1"/>
      <c r="Y44" s="1"/>
      <c r="Z44" s="1"/>
    </row>
    <row r="45" spans="1:26" ht="12.75" customHeight="1" x14ac:dyDescent="0.25">
      <c r="A45" s="14"/>
      <c r="B45" s="14"/>
      <c r="C45" s="14"/>
      <c r="D45" s="14"/>
      <c r="E45" s="14"/>
      <c r="F45" s="14"/>
      <c r="G45" s="10"/>
      <c r="H45" s="14"/>
      <c r="I45" s="14"/>
      <c r="J45" s="14"/>
      <c r="K45" s="10"/>
      <c r="L45" s="14"/>
      <c r="M45" s="14"/>
      <c r="N45" s="14"/>
      <c r="O45" s="10"/>
      <c r="P45" s="14"/>
      <c r="Q45" s="14"/>
      <c r="R45" s="14"/>
      <c r="S45" s="1"/>
      <c r="T45" s="1"/>
      <c r="U45" s="1"/>
      <c r="V45" s="1"/>
      <c r="W45" s="1"/>
      <c r="X45" s="1"/>
      <c r="Y45" s="1"/>
      <c r="Z45" s="1"/>
    </row>
    <row r="46" spans="1:26" ht="12.75" customHeight="1" x14ac:dyDescent="0.25">
      <c r="A46" s="14"/>
      <c r="B46" s="14"/>
      <c r="C46" s="14"/>
      <c r="D46" s="14"/>
      <c r="E46" s="14"/>
      <c r="F46" s="14"/>
      <c r="G46" s="10"/>
      <c r="H46" s="14"/>
      <c r="I46" s="14"/>
      <c r="J46" s="14"/>
      <c r="K46" s="10"/>
      <c r="L46" s="14"/>
      <c r="M46" s="14"/>
      <c r="N46" s="14"/>
      <c r="O46" s="10"/>
      <c r="P46" s="14"/>
      <c r="Q46" s="14"/>
      <c r="R46" s="14"/>
      <c r="S46" s="1"/>
      <c r="T46" s="1"/>
      <c r="U46" s="1"/>
      <c r="V46" s="1"/>
      <c r="W46" s="1"/>
      <c r="X46" s="1"/>
      <c r="Y46" s="1"/>
      <c r="Z46" s="1"/>
    </row>
    <row r="47" spans="1:26" ht="12.75" customHeight="1" x14ac:dyDescent="0.25">
      <c r="A47" s="14"/>
      <c r="B47" s="14"/>
      <c r="C47" s="14"/>
      <c r="D47" s="14"/>
      <c r="E47" s="14"/>
      <c r="F47" s="14"/>
      <c r="G47" s="10"/>
      <c r="H47" s="14"/>
      <c r="I47" s="14"/>
      <c r="J47" s="14"/>
      <c r="K47" s="10"/>
      <c r="L47" s="14"/>
      <c r="M47" s="14"/>
      <c r="N47" s="14"/>
      <c r="O47" s="10"/>
      <c r="P47" s="14"/>
      <c r="Q47" s="14"/>
      <c r="R47" s="14"/>
      <c r="S47" s="1"/>
      <c r="T47" s="1"/>
      <c r="U47" s="1"/>
      <c r="V47" s="1"/>
      <c r="W47" s="1"/>
      <c r="X47" s="1"/>
      <c r="Y47" s="1"/>
      <c r="Z47" s="1"/>
    </row>
    <row r="48" spans="1:26" ht="12.75" customHeight="1" x14ac:dyDescent="0.25">
      <c r="A48" s="14"/>
      <c r="B48" s="14"/>
      <c r="C48" s="14"/>
      <c r="D48" s="14"/>
      <c r="E48" s="14"/>
      <c r="F48" s="14"/>
      <c r="G48" s="10"/>
      <c r="H48" s="14"/>
      <c r="I48" s="14"/>
      <c r="J48" s="14"/>
      <c r="K48" s="10"/>
      <c r="L48" s="14"/>
      <c r="M48" s="14"/>
      <c r="N48" s="14"/>
      <c r="O48" s="10"/>
      <c r="P48" s="14"/>
      <c r="Q48" s="14"/>
      <c r="R48" s="14"/>
      <c r="S48" s="1"/>
      <c r="T48" s="1"/>
      <c r="U48" s="1"/>
      <c r="V48" s="1"/>
      <c r="W48" s="1"/>
      <c r="X48" s="1"/>
      <c r="Y48" s="1"/>
      <c r="Z48" s="1"/>
    </row>
    <row r="49" spans="1:26" ht="12.75" customHeight="1" x14ac:dyDescent="0.25">
      <c r="A49" s="14"/>
      <c r="B49" s="14"/>
      <c r="C49" s="14"/>
      <c r="D49" s="14"/>
      <c r="E49" s="14"/>
      <c r="F49" s="14"/>
      <c r="G49" s="10"/>
      <c r="H49" s="14"/>
      <c r="I49" s="14"/>
      <c r="J49" s="14"/>
      <c r="K49" s="10"/>
      <c r="L49" s="14"/>
      <c r="M49" s="14"/>
      <c r="N49" s="14"/>
      <c r="O49" s="10"/>
      <c r="P49" s="14"/>
      <c r="Q49" s="14"/>
      <c r="R49" s="14"/>
      <c r="S49" s="1"/>
      <c r="T49" s="1"/>
      <c r="U49" s="1"/>
      <c r="V49" s="1"/>
      <c r="W49" s="1"/>
      <c r="X49" s="1"/>
      <c r="Y49" s="1"/>
      <c r="Z49" s="1"/>
    </row>
    <row r="50" spans="1:26" ht="12.75" customHeight="1" x14ac:dyDescent="0.25">
      <c r="A50" s="14"/>
      <c r="B50" s="14"/>
      <c r="C50" s="14"/>
      <c r="D50" s="14"/>
      <c r="E50" s="14"/>
      <c r="F50" s="14"/>
      <c r="G50" s="10"/>
      <c r="H50" s="14"/>
      <c r="I50" s="14"/>
      <c r="J50" s="14"/>
      <c r="K50" s="10"/>
      <c r="L50" s="14"/>
      <c r="M50" s="14"/>
      <c r="N50" s="14"/>
      <c r="O50" s="10"/>
      <c r="P50" s="14"/>
      <c r="Q50" s="14"/>
      <c r="R50" s="14"/>
      <c r="S50" s="1"/>
      <c r="T50" s="1"/>
      <c r="U50" s="1"/>
      <c r="V50" s="1"/>
      <c r="W50" s="1"/>
      <c r="X50" s="1"/>
      <c r="Y50" s="1"/>
      <c r="Z50" s="1"/>
    </row>
    <row r="51" spans="1:26" ht="12.75" customHeight="1" x14ac:dyDescent="0.25">
      <c r="A51" s="14"/>
      <c r="B51" s="14"/>
      <c r="C51" s="14"/>
      <c r="D51" s="14"/>
      <c r="E51" s="14"/>
      <c r="F51" s="14"/>
      <c r="G51" s="10"/>
      <c r="H51" s="14"/>
      <c r="I51" s="14"/>
      <c r="J51" s="14"/>
      <c r="K51" s="10"/>
      <c r="L51" s="14"/>
      <c r="M51" s="14"/>
      <c r="N51" s="14"/>
      <c r="O51" s="10"/>
      <c r="P51" s="14"/>
      <c r="Q51" s="14"/>
      <c r="R51" s="14"/>
      <c r="S51" s="1"/>
      <c r="T51" s="1"/>
      <c r="U51" s="1"/>
      <c r="V51" s="1"/>
      <c r="W51" s="1"/>
      <c r="X51" s="1"/>
      <c r="Y51" s="1"/>
      <c r="Z51" s="1"/>
    </row>
    <row r="52" spans="1:26" ht="12.75" customHeight="1" x14ac:dyDescent="0.25">
      <c r="A52" s="14"/>
      <c r="B52" s="14"/>
      <c r="C52" s="14"/>
      <c r="D52" s="14"/>
      <c r="E52" s="14"/>
      <c r="F52" s="14"/>
      <c r="G52" s="10"/>
      <c r="H52" s="14"/>
      <c r="I52" s="14"/>
      <c r="J52" s="14"/>
      <c r="K52" s="10"/>
      <c r="L52" s="14"/>
      <c r="M52" s="14"/>
      <c r="N52" s="14"/>
      <c r="O52" s="10"/>
      <c r="P52" s="14"/>
      <c r="Q52" s="14"/>
      <c r="R52" s="14"/>
      <c r="S52" s="1"/>
      <c r="T52" s="1"/>
      <c r="U52" s="1"/>
      <c r="V52" s="1"/>
      <c r="W52" s="1"/>
      <c r="X52" s="1"/>
      <c r="Y52" s="1"/>
      <c r="Z52" s="1"/>
    </row>
    <row r="53" spans="1:26" ht="12.75" customHeight="1" x14ac:dyDescent="0.25">
      <c r="A53" s="14"/>
      <c r="B53" s="14"/>
      <c r="C53" s="14"/>
      <c r="D53" s="14"/>
      <c r="E53" s="14"/>
      <c r="F53" s="14"/>
      <c r="G53" s="10"/>
      <c r="H53" s="14"/>
      <c r="I53" s="14"/>
      <c r="J53" s="14"/>
      <c r="K53" s="10"/>
      <c r="L53" s="14"/>
      <c r="M53" s="14"/>
      <c r="N53" s="14"/>
      <c r="O53" s="10"/>
      <c r="P53" s="14"/>
      <c r="Q53" s="14"/>
      <c r="R53" s="14"/>
      <c r="S53" s="1"/>
      <c r="T53" s="1"/>
      <c r="U53" s="1"/>
      <c r="V53" s="1"/>
      <c r="W53" s="1"/>
      <c r="X53" s="1"/>
      <c r="Y53" s="1"/>
      <c r="Z53" s="1"/>
    </row>
    <row r="54" spans="1:26" ht="12.75" customHeight="1" x14ac:dyDescent="0.25">
      <c r="A54" s="14"/>
      <c r="B54" s="14"/>
      <c r="C54" s="14"/>
      <c r="D54" s="14"/>
      <c r="E54" s="14"/>
      <c r="F54" s="14"/>
      <c r="G54" s="10"/>
      <c r="H54" s="14"/>
      <c r="I54" s="14"/>
      <c r="J54" s="14"/>
      <c r="K54" s="10"/>
      <c r="L54" s="14"/>
      <c r="M54" s="14"/>
      <c r="N54" s="14"/>
      <c r="O54" s="10"/>
      <c r="P54" s="14"/>
      <c r="Q54" s="14"/>
      <c r="R54" s="14"/>
      <c r="S54" s="1"/>
      <c r="T54" s="1"/>
      <c r="U54" s="1"/>
      <c r="V54" s="1"/>
      <c r="W54" s="1"/>
      <c r="X54" s="1"/>
      <c r="Y54" s="1"/>
      <c r="Z54" s="1"/>
    </row>
    <row r="55" spans="1:26" ht="12.75" customHeight="1" x14ac:dyDescent="0.25">
      <c r="A55" s="14"/>
      <c r="B55" s="14"/>
      <c r="C55" s="14"/>
      <c r="D55" s="14"/>
      <c r="E55" s="14"/>
      <c r="F55" s="14"/>
      <c r="G55" s="10"/>
      <c r="H55" s="14"/>
      <c r="I55" s="14"/>
      <c r="J55" s="14"/>
      <c r="K55" s="10"/>
      <c r="L55" s="14"/>
      <c r="M55" s="14"/>
      <c r="N55" s="14"/>
      <c r="O55" s="10"/>
      <c r="P55" s="14"/>
      <c r="Q55" s="14"/>
      <c r="R55" s="14"/>
      <c r="S55" s="1"/>
      <c r="T55" s="1"/>
      <c r="U55" s="1"/>
      <c r="V55" s="1"/>
      <c r="W55" s="1"/>
      <c r="X55" s="1"/>
      <c r="Y55" s="1"/>
      <c r="Z55" s="1"/>
    </row>
    <row r="56" spans="1:26" ht="12.75" customHeight="1" x14ac:dyDescent="0.25">
      <c r="A56" s="14"/>
      <c r="B56" s="14"/>
      <c r="C56" s="14"/>
      <c r="D56" s="14"/>
      <c r="E56" s="14"/>
      <c r="F56" s="14"/>
      <c r="G56" s="10"/>
      <c r="H56" s="14"/>
      <c r="I56" s="14"/>
      <c r="J56" s="14"/>
      <c r="K56" s="10"/>
      <c r="L56" s="14"/>
      <c r="M56" s="14"/>
      <c r="N56" s="14"/>
      <c r="O56" s="10"/>
      <c r="P56" s="14"/>
      <c r="Q56" s="14"/>
      <c r="R56" s="14"/>
      <c r="S56" s="1"/>
      <c r="T56" s="1"/>
      <c r="U56" s="1"/>
      <c r="V56" s="1"/>
      <c r="W56" s="1"/>
      <c r="X56" s="1"/>
      <c r="Y56" s="1"/>
      <c r="Z56" s="1"/>
    </row>
    <row r="57" spans="1:26" ht="12.75" customHeight="1" x14ac:dyDescent="0.25">
      <c r="A57" s="14"/>
      <c r="B57" s="14"/>
      <c r="C57" s="14"/>
      <c r="D57" s="14"/>
      <c r="E57" s="14"/>
      <c r="F57" s="14"/>
      <c r="G57" s="10"/>
      <c r="H57" s="14"/>
      <c r="I57" s="14"/>
      <c r="J57" s="14"/>
      <c r="K57" s="10"/>
      <c r="L57" s="14"/>
      <c r="M57" s="14"/>
      <c r="N57" s="14"/>
      <c r="O57" s="10"/>
      <c r="P57" s="14"/>
      <c r="Q57" s="14"/>
      <c r="R57" s="14"/>
      <c r="S57" s="1"/>
      <c r="T57" s="1"/>
      <c r="U57" s="1"/>
      <c r="V57" s="1"/>
      <c r="W57" s="1"/>
      <c r="X57" s="1"/>
      <c r="Y57" s="1"/>
      <c r="Z57" s="1"/>
    </row>
    <row r="58" spans="1:26" ht="12.75" customHeight="1" x14ac:dyDescent="0.25">
      <c r="A58" s="14"/>
      <c r="B58" s="14"/>
      <c r="C58" s="14"/>
      <c r="D58" s="14"/>
      <c r="E58" s="14"/>
      <c r="F58" s="14"/>
      <c r="G58" s="10"/>
      <c r="H58" s="14"/>
      <c r="I58" s="14"/>
      <c r="J58" s="14"/>
      <c r="K58" s="10"/>
      <c r="L58" s="14"/>
      <c r="M58" s="14"/>
      <c r="N58" s="14"/>
      <c r="O58" s="10"/>
      <c r="P58" s="14"/>
      <c r="Q58" s="14"/>
      <c r="R58" s="14"/>
      <c r="S58" s="1"/>
      <c r="T58" s="1"/>
      <c r="U58" s="1"/>
      <c r="V58" s="1"/>
      <c r="W58" s="1"/>
      <c r="X58" s="1"/>
      <c r="Y58" s="1"/>
      <c r="Z58" s="1"/>
    </row>
    <row r="59" spans="1:26" ht="12.75" customHeight="1" x14ac:dyDescent="0.25">
      <c r="A59" s="14"/>
      <c r="B59" s="14"/>
      <c r="C59" s="14"/>
      <c r="D59" s="14"/>
      <c r="E59" s="14"/>
      <c r="F59" s="14"/>
      <c r="G59" s="10"/>
      <c r="H59" s="14"/>
      <c r="I59" s="14"/>
      <c r="J59" s="14"/>
      <c r="K59" s="10"/>
      <c r="L59" s="14"/>
      <c r="M59" s="14"/>
      <c r="N59" s="14"/>
      <c r="O59" s="10"/>
      <c r="P59" s="14"/>
      <c r="Q59" s="14"/>
      <c r="R59" s="14"/>
      <c r="S59" s="1"/>
      <c r="T59" s="1"/>
      <c r="U59" s="1"/>
      <c r="V59" s="1"/>
      <c r="W59" s="1"/>
      <c r="X59" s="1"/>
      <c r="Y59" s="1"/>
      <c r="Z59" s="1"/>
    </row>
    <row r="60" spans="1:26" ht="12.75" customHeight="1" x14ac:dyDescent="0.25">
      <c r="A60" s="14"/>
      <c r="B60" s="14"/>
      <c r="C60" s="14"/>
      <c r="D60" s="14"/>
      <c r="E60" s="14"/>
      <c r="F60" s="14"/>
      <c r="G60" s="10"/>
      <c r="H60" s="14"/>
      <c r="I60" s="14"/>
      <c r="J60" s="14"/>
      <c r="K60" s="10"/>
      <c r="L60" s="14"/>
      <c r="M60" s="14"/>
      <c r="N60" s="14"/>
      <c r="O60" s="10"/>
      <c r="P60" s="14"/>
      <c r="Q60" s="14"/>
      <c r="R60" s="14"/>
      <c r="S60" s="1"/>
      <c r="T60" s="1"/>
      <c r="U60" s="1"/>
      <c r="V60" s="1"/>
      <c r="W60" s="1"/>
      <c r="X60" s="1"/>
      <c r="Y60" s="1"/>
      <c r="Z60" s="1"/>
    </row>
    <row r="61" spans="1:26" ht="12.75" customHeight="1" x14ac:dyDescent="0.25">
      <c r="A61" s="14"/>
      <c r="B61" s="14"/>
      <c r="C61" s="14"/>
      <c r="D61" s="14"/>
      <c r="E61" s="14"/>
      <c r="F61" s="14"/>
      <c r="G61" s="10"/>
      <c r="H61" s="14"/>
      <c r="I61" s="14"/>
      <c r="J61" s="14"/>
      <c r="K61" s="10"/>
      <c r="L61" s="14"/>
      <c r="M61" s="14"/>
      <c r="N61" s="14"/>
      <c r="O61" s="10"/>
      <c r="P61" s="14"/>
      <c r="Q61" s="14"/>
      <c r="R61" s="14"/>
      <c r="S61" s="1"/>
      <c r="T61" s="1"/>
      <c r="U61" s="1"/>
      <c r="V61" s="1"/>
      <c r="W61" s="1"/>
      <c r="X61" s="1"/>
      <c r="Y61" s="1"/>
      <c r="Z61" s="1"/>
    </row>
    <row r="62" spans="1:26" ht="12.75" customHeight="1" x14ac:dyDescent="0.25">
      <c r="A62" s="14"/>
      <c r="B62" s="14"/>
      <c r="C62" s="14"/>
      <c r="D62" s="14"/>
      <c r="E62" s="14"/>
      <c r="F62" s="14"/>
      <c r="G62" s="10"/>
      <c r="H62" s="14"/>
      <c r="I62" s="14"/>
      <c r="J62" s="14"/>
      <c r="K62" s="10"/>
      <c r="L62" s="14"/>
      <c r="M62" s="14"/>
      <c r="N62" s="14"/>
      <c r="O62" s="10"/>
      <c r="P62" s="14"/>
      <c r="Q62" s="14"/>
      <c r="R62" s="14"/>
      <c r="S62" s="1"/>
      <c r="T62" s="1"/>
      <c r="U62" s="1"/>
      <c r="V62" s="1"/>
      <c r="W62" s="1"/>
      <c r="X62" s="1"/>
      <c r="Y62" s="1"/>
      <c r="Z62" s="1"/>
    </row>
    <row r="63" spans="1:26" ht="12.75" customHeight="1" x14ac:dyDescent="0.25">
      <c r="A63" s="14"/>
      <c r="B63" s="14"/>
      <c r="C63" s="14"/>
      <c r="D63" s="14"/>
      <c r="E63" s="14"/>
      <c r="F63" s="14"/>
      <c r="G63" s="10"/>
      <c r="H63" s="14"/>
      <c r="I63" s="14"/>
      <c r="J63" s="14"/>
      <c r="K63" s="10"/>
      <c r="L63" s="14"/>
      <c r="M63" s="14"/>
      <c r="N63" s="14"/>
      <c r="O63" s="10"/>
      <c r="P63" s="14"/>
      <c r="Q63" s="14"/>
      <c r="R63" s="14"/>
      <c r="S63" s="1"/>
      <c r="T63" s="1"/>
      <c r="U63" s="1"/>
      <c r="V63" s="1"/>
      <c r="W63" s="1"/>
      <c r="X63" s="1"/>
      <c r="Y63" s="1"/>
      <c r="Z63" s="1"/>
    </row>
    <row r="64" spans="1:26" ht="12.75" customHeight="1" x14ac:dyDescent="0.25">
      <c r="A64" s="14"/>
      <c r="B64" s="14"/>
      <c r="C64" s="14"/>
      <c r="D64" s="14"/>
      <c r="E64" s="14"/>
      <c r="F64" s="14"/>
      <c r="G64" s="10"/>
      <c r="H64" s="14"/>
      <c r="I64" s="14"/>
      <c r="J64" s="14"/>
      <c r="K64" s="10"/>
      <c r="L64" s="14"/>
      <c r="M64" s="14"/>
      <c r="N64" s="14"/>
      <c r="O64" s="10"/>
      <c r="P64" s="14"/>
      <c r="Q64" s="14"/>
      <c r="R64" s="14"/>
      <c r="S64" s="1"/>
      <c r="T64" s="1"/>
      <c r="U64" s="1"/>
      <c r="V64" s="1"/>
      <c r="W64" s="1"/>
      <c r="X64" s="1"/>
      <c r="Y64" s="1"/>
      <c r="Z64" s="1"/>
    </row>
    <row r="65" spans="1:26" ht="12.75" customHeight="1" x14ac:dyDescent="0.25">
      <c r="A65" s="14"/>
      <c r="B65" s="14"/>
      <c r="C65" s="14"/>
      <c r="D65" s="14"/>
      <c r="E65" s="14"/>
      <c r="F65" s="14"/>
      <c r="G65" s="10"/>
      <c r="H65" s="14"/>
      <c r="I65" s="14"/>
      <c r="J65" s="14"/>
      <c r="K65" s="10"/>
      <c r="L65" s="14"/>
      <c r="M65" s="14"/>
      <c r="N65" s="14"/>
      <c r="O65" s="10"/>
      <c r="P65" s="14"/>
      <c r="Q65" s="14"/>
      <c r="R65" s="14"/>
      <c r="S65" s="1"/>
      <c r="T65" s="1"/>
      <c r="U65" s="1"/>
      <c r="V65" s="1"/>
      <c r="W65" s="1"/>
      <c r="X65" s="1"/>
      <c r="Y65" s="1"/>
      <c r="Z65" s="1"/>
    </row>
    <row r="66" spans="1:26" ht="12.75" customHeight="1" x14ac:dyDescent="0.25">
      <c r="A66" s="14"/>
      <c r="B66" s="14"/>
      <c r="C66" s="14"/>
      <c r="D66" s="14"/>
      <c r="E66" s="14"/>
      <c r="F66" s="14"/>
      <c r="G66" s="10"/>
      <c r="H66" s="14"/>
      <c r="I66" s="14"/>
      <c r="J66" s="14"/>
      <c r="K66" s="10"/>
      <c r="L66" s="14"/>
      <c r="M66" s="14"/>
      <c r="N66" s="14"/>
      <c r="O66" s="10"/>
      <c r="P66" s="14"/>
      <c r="Q66" s="14"/>
      <c r="R66" s="14"/>
      <c r="S66" s="1"/>
      <c r="T66" s="1"/>
      <c r="U66" s="1"/>
      <c r="V66" s="1"/>
      <c r="W66" s="1"/>
      <c r="X66" s="1"/>
      <c r="Y66" s="1"/>
      <c r="Z66" s="1"/>
    </row>
    <row r="67" spans="1:26" ht="12.75" customHeight="1" x14ac:dyDescent="0.25">
      <c r="A67" s="14"/>
      <c r="B67" s="14"/>
      <c r="C67" s="14"/>
      <c r="D67" s="14"/>
      <c r="E67" s="14"/>
      <c r="F67" s="14"/>
      <c r="G67" s="10"/>
      <c r="H67" s="14"/>
      <c r="I67" s="14"/>
      <c r="J67" s="14"/>
      <c r="K67" s="10"/>
      <c r="L67" s="14"/>
      <c r="M67" s="14"/>
      <c r="N67" s="14"/>
      <c r="O67" s="10"/>
      <c r="P67" s="14"/>
      <c r="Q67" s="14"/>
      <c r="R67" s="14"/>
      <c r="S67" s="1"/>
      <c r="T67" s="1"/>
      <c r="U67" s="1"/>
      <c r="V67" s="1"/>
      <c r="W67" s="1"/>
      <c r="X67" s="1"/>
      <c r="Y67" s="1"/>
      <c r="Z67" s="1"/>
    </row>
    <row r="68" spans="1:26" ht="12.75" customHeight="1" x14ac:dyDescent="0.25">
      <c r="A68" s="14"/>
      <c r="B68" s="14"/>
      <c r="C68" s="14"/>
      <c r="D68" s="14"/>
      <c r="E68" s="14"/>
      <c r="F68" s="14"/>
      <c r="G68" s="10"/>
      <c r="H68" s="14"/>
      <c r="I68" s="14"/>
      <c r="J68" s="14"/>
      <c r="K68" s="10"/>
      <c r="L68" s="14"/>
      <c r="M68" s="14"/>
      <c r="N68" s="14"/>
      <c r="O68" s="10"/>
      <c r="P68" s="14"/>
      <c r="Q68" s="14"/>
      <c r="R68" s="14"/>
      <c r="S68" s="1"/>
      <c r="T68" s="1"/>
      <c r="U68" s="1"/>
      <c r="V68" s="1"/>
      <c r="W68" s="1"/>
      <c r="X68" s="1"/>
      <c r="Y68" s="1"/>
      <c r="Z68" s="1"/>
    </row>
    <row r="69" spans="1:26" ht="12.75" customHeight="1" x14ac:dyDescent="0.25">
      <c r="A69" s="14"/>
      <c r="B69" s="14"/>
      <c r="C69" s="14"/>
      <c r="D69" s="14"/>
      <c r="E69" s="14"/>
      <c r="F69" s="14"/>
      <c r="G69" s="10"/>
      <c r="H69" s="14"/>
      <c r="I69" s="14"/>
      <c r="J69" s="14"/>
      <c r="K69" s="10"/>
      <c r="L69" s="14"/>
      <c r="M69" s="14"/>
      <c r="N69" s="14"/>
      <c r="O69" s="10"/>
      <c r="P69" s="14"/>
      <c r="Q69" s="14"/>
      <c r="R69" s="14"/>
      <c r="S69" s="1"/>
      <c r="T69" s="1"/>
      <c r="U69" s="1"/>
      <c r="V69" s="1"/>
      <c r="W69" s="1"/>
      <c r="X69" s="1"/>
      <c r="Y69" s="1"/>
      <c r="Z69" s="1"/>
    </row>
    <row r="70" spans="1:26" ht="12.75" customHeight="1" x14ac:dyDescent="0.25">
      <c r="A70" s="14"/>
      <c r="B70" s="14"/>
      <c r="C70" s="14"/>
      <c r="D70" s="14"/>
      <c r="E70" s="14"/>
      <c r="F70" s="14"/>
      <c r="G70" s="10"/>
      <c r="H70" s="14"/>
      <c r="I70" s="14"/>
      <c r="J70" s="14"/>
      <c r="K70" s="10"/>
      <c r="L70" s="14"/>
      <c r="M70" s="14"/>
      <c r="N70" s="14"/>
      <c r="O70" s="10"/>
      <c r="P70" s="14"/>
      <c r="Q70" s="14"/>
      <c r="R70" s="14"/>
      <c r="S70" s="1"/>
      <c r="T70" s="1"/>
      <c r="U70" s="1"/>
      <c r="V70" s="1"/>
      <c r="W70" s="1"/>
      <c r="X70" s="1"/>
      <c r="Y70" s="1"/>
      <c r="Z70" s="1"/>
    </row>
    <row r="71" spans="1:26" ht="12.75" customHeight="1" x14ac:dyDescent="0.25">
      <c r="A71" s="14"/>
      <c r="B71" s="14"/>
      <c r="C71" s="14"/>
      <c r="D71" s="14"/>
      <c r="E71" s="14"/>
      <c r="F71" s="14"/>
      <c r="G71" s="10"/>
      <c r="H71" s="14"/>
      <c r="I71" s="14"/>
      <c r="J71" s="14"/>
      <c r="K71" s="10"/>
      <c r="L71" s="14"/>
      <c r="M71" s="14"/>
      <c r="N71" s="14"/>
      <c r="O71" s="10"/>
      <c r="P71" s="14"/>
      <c r="Q71" s="14"/>
      <c r="R71" s="14"/>
      <c r="S71" s="1"/>
      <c r="T71" s="1"/>
      <c r="U71" s="1"/>
      <c r="V71" s="1"/>
      <c r="W71" s="1"/>
      <c r="X71" s="1"/>
      <c r="Y71" s="1"/>
      <c r="Z71" s="1"/>
    </row>
    <row r="72" spans="1:26" ht="12.75" customHeight="1" x14ac:dyDescent="0.25">
      <c r="A72" s="14"/>
      <c r="B72" s="14"/>
      <c r="C72" s="14"/>
      <c r="D72" s="14"/>
      <c r="E72" s="14"/>
      <c r="F72" s="14"/>
      <c r="G72" s="10"/>
      <c r="H72" s="14"/>
      <c r="I72" s="14"/>
      <c r="J72" s="14"/>
      <c r="K72" s="10"/>
      <c r="L72" s="14"/>
      <c r="M72" s="14"/>
      <c r="N72" s="14"/>
      <c r="O72" s="10"/>
      <c r="P72" s="14"/>
      <c r="Q72" s="14"/>
      <c r="R72" s="14"/>
      <c r="S72" s="1"/>
      <c r="T72" s="1"/>
      <c r="U72" s="1"/>
      <c r="V72" s="1"/>
      <c r="W72" s="1"/>
      <c r="X72" s="1"/>
      <c r="Y72" s="1"/>
      <c r="Z72" s="1"/>
    </row>
    <row r="73" spans="1:26" ht="12.75" customHeight="1" x14ac:dyDescent="0.25">
      <c r="A73" s="14"/>
      <c r="B73" s="14"/>
      <c r="C73" s="14"/>
      <c r="D73" s="14"/>
      <c r="E73" s="14"/>
      <c r="F73" s="14"/>
      <c r="G73" s="10"/>
      <c r="H73" s="14"/>
      <c r="I73" s="14"/>
      <c r="J73" s="14"/>
      <c r="K73" s="10"/>
      <c r="L73" s="14"/>
      <c r="M73" s="14"/>
      <c r="N73" s="14"/>
      <c r="O73" s="10"/>
      <c r="P73" s="14"/>
      <c r="Q73" s="14"/>
      <c r="R73" s="14"/>
      <c r="S73" s="1"/>
      <c r="T73" s="1"/>
      <c r="U73" s="1"/>
      <c r="V73" s="1"/>
      <c r="W73" s="1"/>
      <c r="X73" s="1"/>
      <c r="Y73" s="1"/>
      <c r="Z73" s="1"/>
    </row>
    <row r="74" spans="1:26" ht="12.75" customHeight="1" x14ac:dyDescent="0.25">
      <c r="A74" s="14"/>
      <c r="B74" s="14"/>
      <c r="C74" s="14"/>
      <c r="D74" s="14"/>
      <c r="E74" s="14"/>
      <c r="F74" s="14"/>
      <c r="G74" s="10"/>
      <c r="H74" s="14"/>
      <c r="I74" s="14"/>
      <c r="J74" s="14"/>
      <c r="K74" s="10"/>
      <c r="L74" s="14"/>
      <c r="M74" s="14"/>
      <c r="N74" s="14"/>
      <c r="O74" s="10"/>
      <c r="P74" s="14"/>
      <c r="Q74" s="14"/>
      <c r="R74" s="14"/>
      <c r="S74" s="1"/>
      <c r="T74" s="1"/>
      <c r="U74" s="1"/>
      <c r="V74" s="1"/>
      <c r="W74" s="1"/>
      <c r="X74" s="1"/>
      <c r="Y74" s="1"/>
      <c r="Z74" s="1"/>
    </row>
    <row r="75" spans="1:26" ht="12.75" customHeight="1" x14ac:dyDescent="0.25">
      <c r="A75" s="14"/>
      <c r="B75" s="14"/>
      <c r="C75" s="14"/>
      <c r="D75" s="14"/>
      <c r="E75" s="14"/>
      <c r="F75" s="14"/>
      <c r="G75" s="10"/>
      <c r="H75" s="14"/>
      <c r="I75" s="14"/>
      <c r="J75" s="14"/>
      <c r="K75" s="10"/>
      <c r="L75" s="14"/>
      <c r="M75" s="14"/>
      <c r="N75" s="14"/>
      <c r="O75" s="10"/>
      <c r="P75" s="14"/>
      <c r="Q75" s="14"/>
      <c r="R75" s="14"/>
      <c r="S75" s="1"/>
      <c r="T75" s="1"/>
      <c r="U75" s="1"/>
      <c r="V75" s="1"/>
      <c r="W75" s="1"/>
      <c r="X75" s="1"/>
      <c r="Y75" s="1"/>
      <c r="Z75" s="1"/>
    </row>
    <row r="76" spans="1:26" ht="12.75" customHeight="1" x14ac:dyDescent="0.25">
      <c r="A76" s="1"/>
      <c r="B76" s="1"/>
      <c r="C76" s="1"/>
      <c r="D76" s="1"/>
      <c r="E76" s="1"/>
      <c r="F76" s="1"/>
      <c r="G76" s="15"/>
      <c r="H76" s="1"/>
      <c r="I76" s="1"/>
      <c r="J76" s="1"/>
      <c r="K76" s="1"/>
      <c r="L76" s="1"/>
      <c r="M76" s="1"/>
      <c r="N76" s="1"/>
      <c r="O76" s="1"/>
      <c r="P76" s="1"/>
      <c r="Q76" s="1"/>
      <c r="R76" s="1"/>
      <c r="S76" s="1"/>
      <c r="T76" s="1"/>
      <c r="U76" s="1"/>
      <c r="V76" s="1"/>
      <c r="W76" s="1"/>
      <c r="X76" s="1"/>
      <c r="Y76" s="1"/>
      <c r="Z76" s="1"/>
    </row>
    <row r="77" spans="1:26" ht="12.75" customHeight="1" x14ac:dyDescent="0.25">
      <c r="A77" s="1"/>
      <c r="B77" s="1"/>
      <c r="C77" s="1"/>
      <c r="D77" s="1"/>
      <c r="E77" s="1"/>
      <c r="F77" s="1"/>
      <c r="G77" s="15"/>
      <c r="H77" s="1"/>
      <c r="I77" s="1"/>
      <c r="J77" s="1"/>
      <c r="K77" s="1"/>
      <c r="L77" s="1"/>
      <c r="M77" s="1"/>
      <c r="N77" s="1"/>
      <c r="O77" s="1"/>
      <c r="P77" s="1"/>
      <c r="Q77" s="1"/>
      <c r="R77" s="1"/>
      <c r="S77" s="1"/>
      <c r="T77" s="1"/>
      <c r="U77" s="1"/>
      <c r="V77" s="1"/>
      <c r="W77" s="1"/>
      <c r="X77" s="1"/>
      <c r="Y77" s="1"/>
      <c r="Z77" s="1"/>
    </row>
    <row r="78" spans="1:26" ht="12.75" customHeight="1" x14ac:dyDescent="0.25">
      <c r="A78" s="1"/>
      <c r="B78" s="1"/>
      <c r="C78" s="1"/>
      <c r="D78" s="1"/>
      <c r="E78" s="1"/>
      <c r="F78" s="1"/>
      <c r="G78" s="15"/>
      <c r="H78" s="1"/>
      <c r="I78" s="1"/>
      <c r="J78" s="1"/>
      <c r="K78" s="1"/>
      <c r="L78" s="1"/>
      <c r="M78" s="1"/>
      <c r="N78" s="1"/>
      <c r="O78" s="1"/>
      <c r="P78" s="1"/>
      <c r="Q78" s="1"/>
      <c r="R78" s="1"/>
      <c r="S78" s="1"/>
      <c r="T78" s="1"/>
      <c r="U78" s="1"/>
      <c r="V78" s="1"/>
      <c r="W78" s="1"/>
      <c r="X78" s="1"/>
      <c r="Y78" s="1"/>
      <c r="Z78" s="1"/>
    </row>
    <row r="79" spans="1:26" ht="12.75" customHeight="1" x14ac:dyDescent="0.25">
      <c r="A79" s="1"/>
      <c r="B79" s="1"/>
      <c r="C79" s="1"/>
      <c r="D79" s="1"/>
      <c r="E79" s="1"/>
      <c r="F79" s="1"/>
      <c r="G79" s="15"/>
      <c r="H79" s="1"/>
      <c r="I79" s="1"/>
      <c r="J79" s="1"/>
      <c r="K79" s="1"/>
      <c r="L79" s="1"/>
      <c r="M79" s="1"/>
      <c r="N79" s="1"/>
      <c r="O79" s="1"/>
      <c r="P79" s="1"/>
      <c r="Q79" s="1"/>
      <c r="R79" s="1"/>
      <c r="S79" s="1"/>
      <c r="T79" s="1"/>
      <c r="U79" s="1"/>
      <c r="V79" s="1"/>
      <c r="W79" s="1"/>
      <c r="X79" s="1"/>
      <c r="Y79" s="1"/>
      <c r="Z79" s="1"/>
    </row>
    <row r="80" spans="1:26" ht="12.75" customHeight="1" x14ac:dyDescent="0.25">
      <c r="A80" s="1"/>
      <c r="B80" s="1"/>
      <c r="C80" s="1"/>
      <c r="D80" s="1"/>
      <c r="E80" s="1"/>
      <c r="F80" s="1"/>
      <c r="G80" s="15"/>
      <c r="H80" s="1"/>
      <c r="I80" s="1"/>
      <c r="J80" s="1"/>
      <c r="K80" s="1"/>
      <c r="L80" s="1"/>
      <c r="M80" s="1"/>
      <c r="N80" s="1"/>
      <c r="O80" s="1"/>
      <c r="P80" s="1"/>
      <c r="Q80" s="1"/>
      <c r="R80" s="1"/>
      <c r="S80" s="1"/>
      <c r="T80" s="1"/>
      <c r="U80" s="1"/>
      <c r="V80" s="1"/>
      <c r="W80" s="1"/>
      <c r="X80" s="1"/>
      <c r="Y80" s="1"/>
      <c r="Z80" s="1"/>
    </row>
    <row r="81" spans="1:26" ht="12.75" customHeight="1" x14ac:dyDescent="0.25">
      <c r="A81" s="1"/>
      <c r="B81" s="1"/>
      <c r="C81" s="1"/>
      <c r="D81" s="1"/>
      <c r="E81" s="1"/>
      <c r="F81" s="1"/>
      <c r="G81" s="15"/>
      <c r="H81" s="1"/>
      <c r="I81" s="1"/>
      <c r="J81" s="1"/>
      <c r="K81" s="1"/>
      <c r="L81" s="1"/>
      <c r="M81" s="1"/>
      <c r="N81" s="1"/>
      <c r="O81" s="1"/>
      <c r="P81" s="1"/>
      <c r="Q81" s="1"/>
      <c r="R81" s="1"/>
      <c r="S81" s="1"/>
      <c r="T81" s="1"/>
      <c r="U81" s="1"/>
      <c r="V81" s="1"/>
      <c r="W81" s="1"/>
      <c r="X81" s="1"/>
      <c r="Y81" s="1"/>
      <c r="Z81" s="1"/>
    </row>
    <row r="82" spans="1:26" ht="12.75" customHeight="1" x14ac:dyDescent="0.25">
      <c r="A82" s="1"/>
      <c r="B82" s="1"/>
      <c r="C82" s="1"/>
      <c r="D82" s="1"/>
      <c r="E82" s="1"/>
      <c r="F82" s="1"/>
      <c r="G82" s="15"/>
      <c r="H82" s="1"/>
      <c r="I82" s="1"/>
      <c r="J82" s="1"/>
      <c r="K82" s="1"/>
      <c r="L82" s="1"/>
      <c r="M82" s="1"/>
      <c r="N82" s="1"/>
      <c r="O82" s="1"/>
      <c r="P82" s="1"/>
      <c r="Q82" s="1"/>
      <c r="R82" s="1"/>
      <c r="S82" s="1"/>
      <c r="T82" s="1"/>
      <c r="U82" s="1"/>
      <c r="V82" s="1"/>
      <c r="W82" s="1"/>
      <c r="X82" s="1"/>
      <c r="Y82" s="1"/>
      <c r="Z82" s="1"/>
    </row>
    <row r="83" spans="1:26" ht="12.75" customHeight="1" x14ac:dyDescent="0.25">
      <c r="A83" s="1"/>
      <c r="B83" s="1"/>
      <c r="C83" s="1"/>
      <c r="D83" s="1"/>
      <c r="E83" s="1"/>
      <c r="F83" s="1"/>
      <c r="G83" s="15"/>
      <c r="H83" s="1"/>
      <c r="I83" s="1"/>
      <c r="J83" s="1"/>
      <c r="K83" s="1"/>
      <c r="L83" s="1"/>
      <c r="M83" s="1"/>
      <c r="N83" s="1"/>
      <c r="O83" s="1"/>
      <c r="P83" s="1"/>
      <c r="Q83" s="1"/>
      <c r="R83" s="1"/>
      <c r="S83" s="1"/>
      <c r="T83" s="1"/>
      <c r="U83" s="1"/>
      <c r="V83" s="1"/>
      <c r="W83" s="1"/>
      <c r="X83" s="1"/>
      <c r="Y83" s="1"/>
      <c r="Z83" s="1"/>
    </row>
    <row r="84" spans="1:26" ht="12.75" customHeight="1" x14ac:dyDescent="0.25">
      <c r="A84" s="1"/>
      <c r="B84" s="1"/>
      <c r="C84" s="1"/>
      <c r="D84" s="1"/>
      <c r="E84" s="1"/>
      <c r="F84" s="1"/>
      <c r="G84" s="15"/>
      <c r="H84" s="1"/>
      <c r="I84" s="1"/>
      <c r="J84" s="1"/>
      <c r="K84" s="1"/>
      <c r="L84" s="1"/>
      <c r="M84" s="1"/>
      <c r="N84" s="1"/>
      <c r="O84" s="1"/>
      <c r="P84" s="1"/>
      <c r="Q84" s="1"/>
      <c r="R84" s="1"/>
      <c r="S84" s="1"/>
      <c r="T84" s="1"/>
      <c r="U84" s="1"/>
      <c r="V84" s="1"/>
      <c r="W84" s="1"/>
      <c r="X84" s="1"/>
      <c r="Y84" s="1"/>
      <c r="Z84" s="1"/>
    </row>
    <row r="85" spans="1:26" ht="12.75" customHeight="1" x14ac:dyDescent="0.25">
      <c r="A85" s="1"/>
      <c r="B85" s="1"/>
      <c r="C85" s="1"/>
      <c r="D85" s="1"/>
      <c r="E85" s="1"/>
      <c r="F85" s="1"/>
      <c r="G85" s="15"/>
      <c r="H85" s="1"/>
      <c r="I85" s="1"/>
      <c r="J85" s="1"/>
      <c r="K85" s="1"/>
      <c r="L85" s="1"/>
      <c r="M85" s="1"/>
      <c r="N85" s="1"/>
      <c r="O85" s="1"/>
      <c r="P85" s="1"/>
      <c r="Q85" s="1"/>
      <c r="R85" s="1"/>
      <c r="S85" s="1"/>
      <c r="T85" s="1"/>
      <c r="U85" s="1"/>
      <c r="V85" s="1"/>
      <c r="W85" s="1"/>
      <c r="X85" s="1"/>
      <c r="Y85" s="1"/>
      <c r="Z85" s="1"/>
    </row>
    <row r="86" spans="1:26" ht="12.75" customHeight="1" x14ac:dyDescent="0.25">
      <c r="A86" s="1"/>
      <c r="B86" s="1"/>
      <c r="C86" s="1"/>
      <c r="D86" s="1"/>
      <c r="E86" s="1"/>
      <c r="F86" s="1"/>
      <c r="G86" s="15"/>
      <c r="H86" s="1"/>
      <c r="I86" s="1"/>
      <c r="J86" s="1"/>
      <c r="K86" s="1"/>
      <c r="L86" s="1"/>
      <c r="M86" s="1"/>
      <c r="N86" s="1"/>
      <c r="O86" s="1"/>
      <c r="P86" s="1"/>
      <c r="Q86" s="1"/>
      <c r="R86" s="1"/>
      <c r="S86" s="1"/>
      <c r="T86" s="1"/>
      <c r="U86" s="1"/>
      <c r="V86" s="1"/>
      <c r="W86" s="1"/>
      <c r="X86" s="1"/>
      <c r="Y86" s="1"/>
      <c r="Z86" s="1"/>
    </row>
    <row r="87" spans="1:26" ht="12.75" customHeight="1" x14ac:dyDescent="0.25">
      <c r="A87" s="1"/>
      <c r="B87" s="1"/>
      <c r="C87" s="1"/>
      <c r="D87" s="1"/>
      <c r="E87" s="1"/>
      <c r="F87" s="1"/>
      <c r="G87" s="15"/>
      <c r="H87" s="1"/>
      <c r="I87" s="1"/>
      <c r="J87" s="1"/>
      <c r="K87" s="1"/>
      <c r="L87" s="1"/>
      <c r="M87" s="1"/>
      <c r="N87" s="1"/>
      <c r="O87" s="1"/>
      <c r="P87" s="1"/>
      <c r="Q87" s="1"/>
      <c r="R87" s="1"/>
      <c r="S87" s="1"/>
      <c r="T87" s="1"/>
      <c r="U87" s="1"/>
      <c r="V87" s="1"/>
      <c r="W87" s="1"/>
      <c r="X87" s="1"/>
      <c r="Y87" s="1"/>
      <c r="Z87" s="1"/>
    </row>
    <row r="88" spans="1:26" ht="12.75" customHeight="1" x14ac:dyDescent="0.25">
      <c r="A88" s="1"/>
      <c r="B88" s="1"/>
      <c r="C88" s="1"/>
      <c r="D88" s="1"/>
      <c r="E88" s="1"/>
      <c r="F88" s="1"/>
      <c r="G88" s="15"/>
      <c r="H88" s="1"/>
      <c r="I88" s="1"/>
      <c r="J88" s="1"/>
      <c r="K88" s="1"/>
      <c r="L88" s="1"/>
      <c r="M88" s="1"/>
      <c r="N88" s="1"/>
      <c r="O88" s="1"/>
      <c r="P88" s="1"/>
      <c r="Q88" s="1"/>
      <c r="R88" s="1"/>
      <c r="S88" s="1"/>
      <c r="T88" s="1"/>
      <c r="U88" s="1"/>
      <c r="V88" s="1"/>
      <c r="W88" s="1"/>
      <c r="X88" s="1"/>
      <c r="Y88" s="1"/>
      <c r="Z88" s="1"/>
    </row>
    <row r="89" spans="1:26" ht="12.75" customHeight="1" x14ac:dyDescent="0.25">
      <c r="A89" s="1"/>
      <c r="B89" s="1"/>
      <c r="C89" s="1"/>
      <c r="D89" s="1"/>
      <c r="E89" s="1"/>
      <c r="F89" s="1"/>
      <c r="G89" s="15"/>
      <c r="H89" s="1"/>
      <c r="I89" s="1"/>
      <c r="J89" s="1"/>
      <c r="K89" s="1"/>
      <c r="L89" s="1"/>
      <c r="M89" s="1"/>
      <c r="N89" s="1"/>
      <c r="O89" s="1"/>
      <c r="P89" s="1"/>
      <c r="Q89" s="1"/>
      <c r="R89" s="1"/>
      <c r="S89" s="1"/>
      <c r="T89" s="1"/>
      <c r="U89" s="1"/>
      <c r="V89" s="1"/>
      <c r="W89" s="1"/>
      <c r="X89" s="1"/>
      <c r="Y89" s="1"/>
      <c r="Z89" s="1"/>
    </row>
    <row r="90" spans="1:26" ht="12.75" customHeight="1" x14ac:dyDescent="0.25">
      <c r="A90" s="1"/>
      <c r="B90" s="1"/>
      <c r="C90" s="1"/>
      <c r="D90" s="1"/>
      <c r="E90" s="1"/>
      <c r="F90" s="1"/>
      <c r="G90" s="15"/>
      <c r="H90" s="1"/>
      <c r="I90" s="1"/>
      <c r="J90" s="1"/>
      <c r="K90" s="1"/>
      <c r="L90" s="1"/>
      <c r="M90" s="1"/>
      <c r="N90" s="1"/>
      <c r="O90" s="1"/>
      <c r="P90" s="1"/>
      <c r="Q90" s="1"/>
      <c r="R90" s="1"/>
      <c r="S90" s="1"/>
      <c r="T90" s="1"/>
      <c r="U90" s="1"/>
      <c r="V90" s="1"/>
      <c r="W90" s="1"/>
      <c r="X90" s="1"/>
      <c r="Y90" s="1"/>
      <c r="Z90" s="1"/>
    </row>
    <row r="91" spans="1:26" ht="12.75" customHeight="1" x14ac:dyDescent="0.25">
      <c r="A91" s="1"/>
      <c r="B91" s="1"/>
      <c r="C91" s="1"/>
      <c r="D91" s="1"/>
      <c r="E91" s="1"/>
      <c r="F91" s="1"/>
      <c r="G91" s="15"/>
      <c r="H91" s="1"/>
      <c r="I91" s="1"/>
      <c r="J91" s="1"/>
      <c r="K91" s="1"/>
      <c r="L91" s="1"/>
      <c r="M91" s="1"/>
      <c r="N91" s="1"/>
      <c r="O91" s="1"/>
      <c r="P91" s="1"/>
      <c r="Q91" s="1"/>
      <c r="R91" s="1"/>
      <c r="S91" s="1"/>
      <c r="T91" s="1"/>
      <c r="U91" s="1"/>
      <c r="V91" s="1"/>
      <c r="W91" s="1"/>
      <c r="X91" s="1"/>
      <c r="Y91" s="1"/>
      <c r="Z91" s="1"/>
    </row>
    <row r="92" spans="1:26" ht="12.75" customHeight="1" x14ac:dyDescent="0.25">
      <c r="A92" s="1"/>
      <c r="B92" s="1"/>
      <c r="C92" s="1"/>
      <c r="D92" s="1"/>
      <c r="E92" s="1"/>
      <c r="F92" s="1"/>
      <c r="G92" s="15"/>
      <c r="H92" s="1"/>
      <c r="I92" s="1"/>
      <c r="J92" s="1"/>
      <c r="K92" s="1"/>
      <c r="L92" s="1"/>
      <c r="M92" s="1"/>
      <c r="N92" s="1"/>
      <c r="O92" s="1"/>
      <c r="P92" s="1"/>
      <c r="Q92" s="1"/>
      <c r="R92" s="1"/>
      <c r="S92" s="1"/>
      <c r="T92" s="1"/>
      <c r="U92" s="1"/>
      <c r="V92" s="1"/>
      <c r="W92" s="1"/>
      <c r="X92" s="1"/>
      <c r="Y92" s="1"/>
      <c r="Z92" s="1"/>
    </row>
    <row r="93" spans="1:26" ht="12.75" customHeight="1" x14ac:dyDescent="0.25">
      <c r="A93" s="1"/>
      <c r="B93" s="1"/>
      <c r="C93" s="1"/>
      <c r="D93" s="1"/>
      <c r="E93" s="1"/>
      <c r="F93" s="1"/>
      <c r="G93" s="15"/>
      <c r="H93" s="1"/>
      <c r="I93" s="1"/>
      <c r="J93" s="1"/>
      <c r="K93" s="1"/>
      <c r="L93" s="1"/>
      <c r="M93" s="1"/>
      <c r="N93" s="1"/>
      <c r="O93" s="1"/>
      <c r="P93" s="1"/>
      <c r="Q93" s="1"/>
      <c r="R93" s="1"/>
      <c r="S93" s="1"/>
      <c r="T93" s="1"/>
      <c r="U93" s="1"/>
      <c r="V93" s="1"/>
      <c r="W93" s="1"/>
      <c r="X93" s="1"/>
      <c r="Y93" s="1"/>
      <c r="Z93" s="1"/>
    </row>
    <row r="94" spans="1:26" ht="12.75" customHeight="1" x14ac:dyDescent="0.25">
      <c r="A94" s="1"/>
      <c r="B94" s="1"/>
      <c r="C94" s="1"/>
      <c r="D94" s="1"/>
      <c r="E94" s="1"/>
      <c r="F94" s="1"/>
      <c r="G94" s="15"/>
      <c r="H94" s="1"/>
      <c r="I94" s="1"/>
      <c r="J94" s="1"/>
      <c r="K94" s="1"/>
      <c r="L94" s="1"/>
      <c r="M94" s="1"/>
      <c r="N94" s="1"/>
      <c r="O94" s="1"/>
      <c r="P94" s="1"/>
      <c r="Q94" s="1"/>
      <c r="R94" s="1"/>
      <c r="S94" s="1"/>
      <c r="T94" s="1"/>
      <c r="U94" s="1"/>
      <c r="V94" s="1"/>
      <c r="W94" s="1"/>
      <c r="X94" s="1"/>
      <c r="Y94" s="1"/>
      <c r="Z94" s="1"/>
    </row>
    <row r="95" spans="1:26" ht="12.75" customHeight="1" x14ac:dyDescent="0.25">
      <c r="A95" s="1"/>
      <c r="B95" s="1"/>
      <c r="C95" s="1"/>
      <c r="D95" s="1"/>
      <c r="E95" s="1"/>
      <c r="F95" s="1"/>
      <c r="G95" s="15"/>
      <c r="H95" s="1"/>
      <c r="I95" s="1"/>
      <c r="J95" s="1"/>
      <c r="K95" s="1"/>
      <c r="L95" s="1"/>
      <c r="M95" s="1"/>
      <c r="N95" s="1"/>
      <c r="O95" s="1"/>
      <c r="P95" s="1"/>
      <c r="Q95" s="1"/>
      <c r="R95" s="1"/>
      <c r="S95" s="1"/>
      <c r="T95" s="1"/>
      <c r="U95" s="1"/>
      <c r="V95" s="1"/>
      <c r="W95" s="1"/>
      <c r="X95" s="1"/>
      <c r="Y95" s="1"/>
      <c r="Z95" s="1"/>
    </row>
    <row r="96" spans="1:26" ht="12.75" customHeight="1" x14ac:dyDescent="0.25">
      <c r="A96" s="1"/>
      <c r="B96" s="1"/>
      <c r="C96" s="1"/>
      <c r="D96" s="1"/>
      <c r="E96" s="1"/>
      <c r="F96" s="1"/>
      <c r="G96" s="15"/>
      <c r="H96" s="1"/>
      <c r="I96" s="1"/>
      <c r="J96" s="1"/>
      <c r="K96" s="1"/>
      <c r="L96" s="1"/>
      <c r="M96" s="1"/>
      <c r="N96" s="1"/>
      <c r="O96" s="1"/>
      <c r="P96" s="1"/>
      <c r="Q96" s="1"/>
      <c r="R96" s="1"/>
      <c r="S96" s="1"/>
      <c r="T96" s="1"/>
      <c r="U96" s="1"/>
      <c r="V96" s="1"/>
      <c r="W96" s="1"/>
      <c r="X96" s="1"/>
      <c r="Y96" s="1"/>
      <c r="Z96" s="1"/>
    </row>
    <row r="97" spans="1:26" ht="12.75" customHeight="1" x14ac:dyDescent="0.25">
      <c r="A97" s="1"/>
      <c r="B97" s="1"/>
      <c r="C97" s="1"/>
      <c r="D97" s="1"/>
      <c r="E97" s="1"/>
      <c r="F97" s="1"/>
      <c r="G97" s="15"/>
      <c r="H97" s="1"/>
      <c r="I97" s="1"/>
      <c r="J97" s="1"/>
      <c r="K97" s="1"/>
      <c r="L97" s="1"/>
      <c r="M97" s="1"/>
      <c r="N97" s="1"/>
      <c r="O97" s="1"/>
      <c r="P97" s="1"/>
      <c r="Q97" s="1"/>
      <c r="R97" s="1"/>
      <c r="S97" s="1"/>
      <c r="T97" s="1"/>
      <c r="U97" s="1"/>
      <c r="V97" s="1"/>
      <c r="W97" s="1"/>
      <c r="X97" s="1"/>
      <c r="Y97" s="1"/>
      <c r="Z97" s="1"/>
    </row>
    <row r="98" spans="1:26" ht="12.75" customHeight="1" x14ac:dyDescent="0.25">
      <c r="A98" s="1"/>
      <c r="B98" s="1"/>
      <c r="C98" s="1"/>
      <c r="D98" s="1"/>
      <c r="E98" s="1"/>
      <c r="F98" s="1"/>
      <c r="G98" s="15"/>
      <c r="H98" s="1"/>
      <c r="I98" s="1"/>
      <c r="J98" s="1"/>
      <c r="K98" s="1"/>
      <c r="L98" s="1"/>
      <c r="M98" s="1"/>
      <c r="N98" s="1"/>
      <c r="O98" s="1"/>
      <c r="P98" s="1"/>
      <c r="Q98" s="1"/>
      <c r="R98" s="1"/>
      <c r="S98" s="1"/>
      <c r="T98" s="1"/>
      <c r="U98" s="1"/>
      <c r="V98" s="1"/>
      <c r="W98" s="1"/>
      <c r="X98" s="1"/>
      <c r="Y98" s="1"/>
      <c r="Z98" s="1"/>
    </row>
    <row r="99" spans="1:26" ht="12.75" customHeight="1" x14ac:dyDescent="0.25">
      <c r="A99" s="1"/>
      <c r="B99" s="1"/>
      <c r="C99" s="1"/>
      <c r="D99" s="1"/>
      <c r="E99" s="1"/>
      <c r="F99" s="1"/>
      <c r="G99" s="15"/>
      <c r="H99" s="1"/>
      <c r="I99" s="1"/>
      <c r="J99" s="1"/>
      <c r="K99" s="1"/>
      <c r="L99" s="1"/>
      <c r="M99" s="1"/>
      <c r="N99" s="1"/>
      <c r="O99" s="1"/>
      <c r="P99" s="1"/>
      <c r="Q99" s="1"/>
      <c r="R99" s="1"/>
      <c r="S99" s="1"/>
      <c r="T99" s="1"/>
      <c r="U99" s="1"/>
      <c r="V99" s="1"/>
      <c r="W99" s="1"/>
      <c r="X99" s="1"/>
      <c r="Y99" s="1"/>
      <c r="Z99" s="1"/>
    </row>
    <row r="100" spans="1:26" ht="12.75" customHeight="1" x14ac:dyDescent="0.25">
      <c r="A100" s="1"/>
      <c r="B100" s="1"/>
      <c r="C100" s="1"/>
      <c r="D100" s="1"/>
      <c r="E100" s="1"/>
      <c r="F100" s="1"/>
      <c r="G100" s="15"/>
      <c r="H100" s="1"/>
      <c r="I100" s="1"/>
      <c r="J100" s="1"/>
      <c r="K100" s="1"/>
      <c r="L100" s="1"/>
      <c r="M100" s="1"/>
      <c r="N100" s="1"/>
      <c r="O100" s="1"/>
      <c r="P100" s="1"/>
      <c r="Q100" s="1"/>
      <c r="R100" s="1"/>
      <c r="S100" s="1"/>
      <c r="T100" s="1"/>
      <c r="U100" s="1"/>
      <c r="V100" s="1"/>
      <c r="W100" s="1"/>
      <c r="X100" s="1"/>
      <c r="Y100" s="1"/>
      <c r="Z100" s="1"/>
    </row>
    <row r="101" spans="1:26" ht="12.75" customHeight="1" x14ac:dyDescent="0.25">
      <c r="A101" s="1"/>
      <c r="B101" s="1"/>
      <c r="C101" s="1"/>
      <c r="D101" s="1"/>
      <c r="E101" s="1"/>
      <c r="F101" s="1"/>
      <c r="G101" s="15"/>
      <c r="H101" s="1"/>
      <c r="I101" s="1"/>
      <c r="J101" s="1"/>
      <c r="K101" s="1"/>
      <c r="L101" s="1"/>
      <c r="M101" s="1"/>
      <c r="N101" s="1"/>
      <c r="O101" s="1"/>
      <c r="P101" s="1"/>
      <c r="Q101" s="1"/>
      <c r="R101" s="1"/>
      <c r="S101" s="1"/>
      <c r="T101" s="1"/>
      <c r="U101" s="1"/>
      <c r="V101" s="1"/>
      <c r="W101" s="1"/>
      <c r="X101" s="1"/>
      <c r="Y101" s="1"/>
      <c r="Z101" s="1"/>
    </row>
    <row r="102" spans="1:26" ht="12.75" customHeight="1" x14ac:dyDescent="0.25">
      <c r="A102" s="1"/>
      <c r="B102" s="1"/>
      <c r="C102" s="1"/>
      <c r="D102" s="1"/>
      <c r="E102" s="1"/>
      <c r="F102" s="1"/>
      <c r="G102" s="15"/>
      <c r="H102" s="1"/>
      <c r="I102" s="1"/>
      <c r="J102" s="1"/>
      <c r="K102" s="1"/>
      <c r="L102" s="1"/>
      <c r="M102" s="1"/>
      <c r="N102" s="1"/>
      <c r="O102" s="1"/>
      <c r="P102" s="1"/>
      <c r="Q102" s="1"/>
      <c r="R102" s="1"/>
      <c r="S102" s="1"/>
      <c r="T102" s="1"/>
      <c r="U102" s="1"/>
      <c r="V102" s="1"/>
      <c r="W102" s="1"/>
      <c r="X102" s="1"/>
      <c r="Y102" s="1"/>
      <c r="Z102" s="1"/>
    </row>
    <row r="103" spans="1:26" ht="12.75" customHeight="1" x14ac:dyDescent="0.25">
      <c r="A103" s="1"/>
      <c r="B103" s="1"/>
      <c r="C103" s="1"/>
      <c r="D103" s="1"/>
      <c r="E103" s="1"/>
      <c r="F103" s="1"/>
      <c r="G103" s="15"/>
      <c r="H103" s="1"/>
      <c r="I103" s="1"/>
      <c r="J103" s="1"/>
      <c r="K103" s="1"/>
      <c r="L103" s="1"/>
      <c r="M103" s="1"/>
      <c r="N103" s="1"/>
      <c r="O103" s="1"/>
      <c r="P103" s="1"/>
      <c r="Q103" s="1"/>
      <c r="R103" s="1"/>
      <c r="S103" s="1"/>
      <c r="T103" s="1"/>
      <c r="U103" s="1"/>
      <c r="V103" s="1"/>
      <c r="W103" s="1"/>
      <c r="X103" s="1"/>
      <c r="Y103" s="1"/>
      <c r="Z103" s="1"/>
    </row>
    <row r="104" spans="1:26" ht="12.75" customHeight="1" x14ac:dyDescent="0.25">
      <c r="A104" s="1"/>
      <c r="B104" s="1"/>
      <c r="C104" s="1"/>
      <c r="D104" s="1"/>
      <c r="E104" s="1"/>
      <c r="F104" s="1"/>
      <c r="G104" s="15"/>
      <c r="H104" s="1"/>
      <c r="I104" s="1"/>
      <c r="J104" s="1"/>
      <c r="K104" s="1"/>
      <c r="L104" s="1"/>
      <c r="M104" s="1"/>
      <c r="N104" s="1"/>
      <c r="O104" s="1"/>
      <c r="P104" s="1"/>
      <c r="Q104" s="1"/>
      <c r="R104" s="1"/>
      <c r="S104" s="1"/>
      <c r="T104" s="1"/>
      <c r="U104" s="1"/>
      <c r="V104" s="1"/>
      <c r="W104" s="1"/>
      <c r="X104" s="1"/>
      <c r="Y104" s="1"/>
      <c r="Z104" s="1"/>
    </row>
    <row r="105" spans="1:26" ht="12.75" customHeight="1" x14ac:dyDescent="0.25">
      <c r="A105" s="1"/>
      <c r="B105" s="1"/>
      <c r="C105" s="1"/>
      <c r="D105" s="1"/>
      <c r="E105" s="1"/>
      <c r="F105" s="1"/>
      <c r="G105" s="15"/>
      <c r="H105" s="1"/>
      <c r="I105" s="1"/>
      <c r="J105" s="1"/>
      <c r="K105" s="1"/>
      <c r="L105" s="1"/>
      <c r="M105" s="1"/>
      <c r="N105" s="1"/>
      <c r="O105" s="1"/>
      <c r="P105" s="1"/>
      <c r="Q105" s="1"/>
      <c r="R105" s="1"/>
      <c r="S105" s="1"/>
      <c r="T105" s="1"/>
      <c r="U105" s="1"/>
      <c r="V105" s="1"/>
      <c r="W105" s="1"/>
      <c r="X105" s="1"/>
      <c r="Y105" s="1"/>
      <c r="Z105" s="1"/>
    </row>
    <row r="106" spans="1:26" ht="12.75" customHeight="1" x14ac:dyDescent="0.25">
      <c r="A106" s="1"/>
      <c r="B106" s="1"/>
      <c r="C106" s="1"/>
      <c r="D106" s="1"/>
      <c r="E106" s="1"/>
      <c r="F106" s="1"/>
      <c r="G106" s="15"/>
      <c r="H106" s="1"/>
      <c r="I106" s="1"/>
      <c r="J106" s="1"/>
      <c r="K106" s="1"/>
      <c r="L106" s="1"/>
      <c r="M106" s="1"/>
      <c r="N106" s="1"/>
      <c r="O106" s="1"/>
      <c r="P106" s="1"/>
      <c r="Q106" s="1"/>
      <c r="R106" s="1"/>
      <c r="S106" s="1"/>
      <c r="T106" s="1"/>
      <c r="U106" s="1"/>
      <c r="V106" s="1"/>
      <c r="W106" s="1"/>
      <c r="X106" s="1"/>
      <c r="Y106" s="1"/>
      <c r="Z106" s="1"/>
    </row>
    <row r="107" spans="1:26" ht="12.75" customHeight="1" x14ac:dyDescent="0.25">
      <c r="A107" s="1"/>
      <c r="B107" s="1"/>
      <c r="C107" s="1"/>
      <c r="D107" s="1"/>
      <c r="E107" s="1"/>
      <c r="F107" s="1"/>
      <c r="G107" s="15"/>
      <c r="H107" s="1"/>
      <c r="I107" s="1"/>
      <c r="J107" s="1"/>
      <c r="K107" s="1"/>
      <c r="L107" s="1"/>
      <c r="M107" s="1"/>
      <c r="N107" s="1"/>
      <c r="O107" s="1"/>
      <c r="P107" s="1"/>
      <c r="Q107" s="1"/>
      <c r="R107" s="1"/>
      <c r="S107" s="1"/>
      <c r="T107" s="1"/>
      <c r="U107" s="1"/>
      <c r="V107" s="1"/>
      <c r="W107" s="1"/>
      <c r="X107" s="1"/>
      <c r="Y107" s="1"/>
      <c r="Z107" s="1"/>
    </row>
    <row r="108" spans="1:26" ht="12.75" customHeight="1" x14ac:dyDescent="0.25">
      <c r="A108" s="1"/>
      <c r="B108" s="1"/>
      <c r="C108" s="1"/>
      <c r="D108" s="1"/>
      <c r="E108" s="1"/>
      <c r="F108" s="1"/>
      <c r="G108" s="15"/>
      <c r="H108" s="1"/>
      <c r="I108" s="1"/>
      <c r="J108" s="1"/>
      <c r="K108" s="1"/>
      <c r="L108" s="1"/>
      <c r="M108" s="1"/>
      <c r="N108" s="1"/>
      <c r="O108" s="1"/>
      <c r="P108" s="1"/>
      <c r="Q108" s="1"/>
      <c r="R108" s="1"/>
      <c r="S108" s="1"/>
      <c r="T108" s="1"/>
      <c r="U108" s="1"/>
      <c r="V108" s="1"/>
      <c r="W108" s="1"/>
      <c r="X108" s="1"/>
      <c r="Y108" s="1"/>
      <c r="Z108" s="1"/>
    </row>
    <row r="109" spans="1:26" ht="12.75" customHeight="1" x14ac:dyDescent="0.25">
      <c r="A109" s="1"/>
      <c r="B109" s="1"/>
      <c r="C109" s="1"/>
      <c r="D109" s="1"/>
      <c r="E109" s="1"/>
      <c r="F109" s="1"/>
      <c r="G109" s="15"/>
      <c r="H109" s="1"/>
      <c r="I109" s="1"/>
      <c r="J109" s="1"/>
      <c r="K109" s="1"/>
      <c r="L109" s="1"/>
      <c r="M109" s="1"/>
      <c r="N109" s="1"/>
      <c r="O109" s="1"/>
      <c r="P109" s="1"/>
      <c r="Q109" s="1"/>
      <c r="R109" s="1"/>
      <c r="S109" s="1"/>
      <c r="T109" s="1"/>
      <c r="U109" s="1"/>
      <c r="V109" s="1"/>
      <c r="W109" s="1"/>
      <c r="X109" s="1"/>
      <c r="Y109" s="1"/>
      <c r="Z109" s="1"/>
    </row>
    <row r="110" spans="1:26" ht="12.75" customHeight="1" x14ac:dyDescent="0.25">
      <c r="A110" s="1"/>
      <c r="B110" s="1"/>
      <c r="C110" s="1"/>
      <c r="D110" s="1"/>
      <c r="E110" s="1"/>
      <c r="F110" s="1"/>
      <c r="G110" s="15"/>
      <c r="H110" s="1"/>
      <c r="I110" s="1"/>
      <c r="J110" s="1"/>
      <c r="K110" s="1"/>
      <c r="L110" s="1"/>
      <c r="M110" s="1"/>
      <c r="N110" s="1"/>
      <c r="O110" s="1"/>
      <c r="P110" s="1"/>
      <c r="Q110" s="1"/>
      <c r="R110" s="1"/>
      <c r="S110" s="1"/>
      <c r="T110" s="1"/>
      <c r="U110" s="1"/>
      <c r="V110" s="1"/>
      <c r="W110" s="1"/>
      <c r="X110" s="1"/>
      <c r="Y110" s="1"/>
      <c r="Z110" s="1"/>
    </row>
    <row r="111" spans="1:26" ht="12.75" customHeight="1" x14ac:dyDescent="0.25">
      <c r="A111" s="1"/>
      <c r="B111" s="1"/>
      <c r="C111" s="1"/>
      <c r="D111" s="1"/>
      <c r="E111" s="1"/>
      <c r="F111" s="1"/>
      <c r="G111" s="15"/>
      <c r="H111" s="1"/>
      <c r="I111" s="1"/>
      <c r="J111" s="1"/>
      <c r="K111" s="1"/>
      <c r="L111" s="1"/>
      <c r="M111" s="1"/>
      <c r="N111" s="1"/>
      <c r="O111" s="1"/>
      <c r="P111" s="1"/>
      <c r="Q111" s="1"/>
      <c r="R111" s="1"/>
      <c r="S111" s="1"/>
      <c r="T111" s="1"/>
      <c r="U111" s="1"/>
      <c r="V111" s="1"/>
      <c r="W111" s="1"/>
      <c r="X111" s="1"/>
      <c r="Y111" s="1"/>
      <c r="Z111" s="1"/>
    </row>
    <row r="112" spans="1:26" ht="12.75" customHeight="1" x14ac:dyDescent="0.25">
      <c r="A112" s="1"/>
      <c r="B112" s="1"/>
      <c r="C112" s="1"/>
      <c r="D112" s="1"/>
      <c r="E112" s="1"/>
      <c r="F112" s="1"/>
      <c r="G112" s="15"/>
      <c r="H112" s="1"/>
      <c r="I112" s="1"/>
      <c r="J112" s="1"/>
      <c r="K112" s="1"/>
      <c r="L112" s="1"/>
      <c r="M112" s="1"/>
      <c r="N112" s="1"/>
      <c r="O112" s="1"/>
      <c r="P112" s="1"/>
      <c r="Q112" s="1"/>
      <c r="R112" s="1"/>
      <c r="S112" s="1"/>
      <c r="T112" s="1"/>
      <c r="U112" s="1"/>
      <c r="V112" s="1"/>
      <c r="W112" s="1"/>
      <c r="X112" s="1"/>
      <c r="Y112" s="1"/>
      <c r="Z112" s="1"/>
    </row>
    <row r="113" spans="1:26" ht="12.75" customHeight="1" x14ac:dyDescent="0.25">
      <c r="A113" s="1"/>
      <c r="B113" s="1"/>
      <c r="C113" s="1"/>
      <c r="D113" s="1"/>
      <c r="E113" s="1"/>
      <c r="F113" s="1"/>
      <c r="G113" s="15"/>
      <c r="H113" s="1"/>
      <c r="I113" s="1"/>
      <c r="J113" s="1"/>
      <c r="K113" s="1"/>
      <c r="L113" s="1"/>
      <c r="M113" s="1"/>
      <c r="N113" s="1"/>
      <c r="O113" s="1"/>
      <c r="P113" s="1"/>
      <c r="Q113" s="1"/>
      <c r="R113" s="1"/>
      <c r="S113" s="1"/>
      <c r="T113" s="1"/>
      <c r="U113" s="1"/>
      <c r="V113" s="1"/>
      <c r="W113" s="1"/>
      <c r="X113" s="1"/>
      <c r="Y113" s="1"/>
      <c r="Z113" s="1"/>
    </row>
    <row r="114" spans="1:26" ht="12.75" customHeight="1" x14ac:dyDescent="0.25">
      <c r="A114" s="1"/>
      <c r="B114" s="1"/>
      <c r="C114" s="1"/>
      <c r="D114" s="1"/>
      <c r="E114" s="1"/>
      <c r="F114" s="1"/>
      <c r="G114" s="15"/>
      <c r="H114" s="1"/>
      <c r="I114" s="1"/>
      <c r="J114" s="1"/>
      <c r="K114" s="1"/>
      <c r="L114" s="1"/>
      <c r="M114" s="1"/>
      <c r="N114" s="1"/>
      <c r="O114" s="1"/>
      <c r="P114" s="1"/>
      <c r="Q114" s="1"/>
      <c r="R114" s="1"/>
      <c r="S114" s="1"/>
      <c r="T114" s="1"/>
      <c r="U114" s="1"/>
      <c r="V114" s="1"/>
      <c r="W114" s="1"/>
      <c r="X114" s="1"/>
      <c r="Y114" s="1"/>
      <c r="Z114" s="1"/>
    </row>
    <row r="115" spans="1:26" ht="12.75" customHeight="1" x14ac:dyDescent="0.25">
      <c r="A115" s="1"/>
      <c r="B115" s="1"/>
      <c r="C115" s="1"/>
      <c r="D115" s="1"/>
      <c r="E115" s="1"/>
      <c r="F115" s="1"/>
      <c r="G115" s="15"/>
      <c r="H115" s="1"/>
      <c r="I115" s="1"/>
      <c r="J115" s="1"/>
      <c r="K115" s="1"/>
      <c r="L115" s="1"/>
      <c r="M115" s="1"/>
      <c r="N115" s="1"/>
      <c r="O115" s="1"/>
      <c r="P115" s="1"/>
      <c r="Q115" s="1"/>
      <c r="R115" s="1"/>
      <c r="S115" s="1"/>
      <c r="T115" s="1"/>
      <c r="U115" s="1"/>
      <c r="V115" s="1"/>
      <c r="W115" s="1"/>
      <c r="X115" s="1"/>
      <c r="Y115" s="1"/>
      <c r="Z115" s="1"/>
    </row>
    <row r="116" spans="1:26" ht="12.75" customHeight="1" x14ac:dyDescent="0.25">
      <c r="A116" s="1"/>
      <c r="B116" s="1"/>
      <c r="C116" s="1"/>
      <c r="D116" s="1"/>
      <c r="E116" s="1"/>
      <c r="F116" s="1"/>
      <c r="G116" s="15"/>
      <c r="H116" s="1"/>
      <c r="I116" s="1"/>
      <c r="J116" s="1"/>
      <c r="K116" s="1"/>
      <c r="L116" s="1"/>
      <c r="M116" s="1"/>
      <c r="N116" s="1"/>
      <c r="O116" s="1"/>
      <c r="P116" s="1"/>
      <c r="Q116" s="1"/>
      <c r="R116" s="1"/>
      <c r="S116" s="1"/>
      <c r="T116" s="1"/>
      <c r="U116" s="1"/>
      <c r="V116" s="1"/>
      <c r="W116" s="1"/>
      <c r="X116" s="1"/>
      <c r="Y116" s="1"/>
      <c r="Z116" s="1"/>
    </row>
    <row r="117" spans="1:26" ht="12.75" customHeight="1" x14ac:dyDescent="0.25">
      <c r="A117" s="1"/>
      <c r="B117" s="1"/>
      <c r="C117" s="1"/>
      <c r="D117" s="1"/>
      <c r="E117" s="1"/>
      <c r="F117" s="1"/>
      <c r="G117" s="15"/>
      <c r="H117" s="1"/>
      <c r="I117" s="1"/>
      <c r="J117" s="1"/>
      <c r="K117" s="1"/>
      <c r="L117" s="1"/>
      <c r="M117" s="1"/>
      <c r="N117" s="1"/>
      <c r="O117" s="1"/>
      <c r="P117" s="1"/>
      <c r="Q117" s="1"/>
      <c r="R117" s="1"/>
      <c r="S117" s="1"/>
      <c r="T117" s="1"/>
      <c r="U117" s="1"/>
      <c r="V117" s="1"/>
      <c r="W117" s="1"/>
      <c r="X117" s="1"/>
      <c r="Y117" s="1"/>
      <c r="Z117" s="1"/>
    </row>
    <row r="118" spans="1:26" ht="12.75" customHeight="1" x14ac:dyDescent="0.25">
      <c r="A118" s="1"/>
      <c r="B118" s="1"/>
      <c r="C118" s="1"/>
      <c r="D118" s="1"/>
      <c r="E118" s="1"/>
      <c r="F118" s="1"/>
      <c r="G118" s="15"/>
      <c r="H118" s="1"/>
      <c r="I118" s="1"/>
      <c r="J118" s="1"/>
      <c r="K118" s="1"/>
      <c r="L118" s="1"/>
      <c r="M118" s="1"/>
      <c r="N118" s="1"/>
      <c r="O118" s="1"/>
      <c r="P118" s="1"/>
      <c r="Q118" s="1"/>
      <c r="R118" s="1"/>
      <c r="S118" s="1"/>
      <c r="T118" s="1"/>
      <c r="U118" s="1"/>
      <c r="V118" s="1"/>
      <c r="W118" s="1"/>
      <c r="X118" s="1"/>
      <c r="Y118" s="1"/>
      <c r="Z118" s="1"/>
    </row>
    <row r="119" spans="1:26" ht="12.75" customHeight="1" x14ac:dyDescent="0.25">
      <c r="A119" s="1"/>
      <c r="B119" s="1"/>
      <c r="C119" s="1"/>
      <c r="D119" s="1"/>
      <c r="E119" s="1"/>
      <c r="F119" s="1"/>
      <c r="G119" s="15"/>
      <c r="H119" s="1"/>
      <c r="I119" s="1"/>
      <c r="J119" s="1"/>
      <c r="K119" s="1"/>
      <c r="L119" s="1"/>
      <c r="M119" s="1"/>
      <c r="N119" s="1"/>
      <c r="O119" s="1"/>
      <c r="P119" s="1"/>
      <c r="Q119" s="1"/>
      <c r="R119" s="1"/>
      <c r="S119" s="1"/>
      <c r="T119" s="1"/>
      <c r="U119" s="1"/>
      <c r="V119" s="1"/>
      <c r="W119" s="1"/>
      <c r="X119" s="1"/>
      <c r="Y119" s="1"/>
      <c r="Z119" s="1"/>
    </row>
    <row r="120" spans="1:26" ht="12.75" customHeight="1" x14ac:dyDescent="0.25">
      <c r="A120" s="1"/>
      <c r="B120" s="1"/>
      <c r="C120" s="1"/>
      <c r="D120" s="1"/>
      <c r="E120" s="1"/>
      <c r="F120" s="1"/>
      <c r="G120" s="15"/>
      <c r="H120" s="1"/>
      <c r="I120" s="1"/>
      <c r="J120" s="1"/>
      <c r="K120" s="1"/>
      <c r="L120" s="1"/>
      <c r="M120" s="1"/>
      <c r="N120" s="1"/>
      <c r="O120" s="1"/>
      <c r="P120" s="1"/>
      <c r="Q120" s="1"/>
      <c r="R120" s="1"/>
      <c r="S120" s="1"/>
      <c r="T120" s="1"/>
      <c r="U120" s="1"/>
      <c r="V120" s="1"/>
      <c r="W120" s="1"/>
      <c r="X120" s="1"/>
      <c r="Y120" s="1"/>
      <c r="Z120" s="1"/>
    </row>
    <row r="121" spans="1:26" ht="12.75" customHeight="1" x14ac:dyDescent="0.25">
      <c r="A121" s="1"/>
      <c r="B121" s="1"/>
      <c r="C121" s="1"/>
      <c r="D121" s="1"/>
      <c r="E121" s="1"/>
      <c r="F121" s="1"/>
      <c r="G121" s="15"/>
      <c r="H121" s="1"/>
      <c r="I121" s="1"/>
      <c r="J121" s="1"/>
      <c r="K121" s="1"/>
      <c r="L121" s="1"/>
      <c r="M121" s="1"/>
      <c r="N121" s="1"/>
      <c r="O121" s="1"/>
      <c r="P121" s="1"/>
      <c r="Q121" s="1"/>
      <c r="R121" s="1"/>
      <c r="S121" s="1"/>
      <c r="T121" s="1"/>
      <c r="U121" s="1"/>
      <c r="V121" s="1"/>
      <c r="W121" s="1"/>
      <c r="X121" s="1"/>
      <c r="Y121" s="1"/>
      <c r="Z121" s="1"/>
    </row>
    <row r="122" spans="1:26" ht="12.75" customHeight="1" x14ac:dyDescent="0.25">
      <c r="A122" s="1"/>
      <c r="B122" s="1"/>
      <c r="C122" s="1"/>
      <c r="D122" s="1"/>
      <c r="E122" s="1"/>
      <c r="F122" s="1"/>
      <c r="G122" s="15"/>
      <c r="H122" s="1"/>
      <c r="I122" s="1"/>
      <c r="J122" s="1"/>
      <c r="K122" s="1"/>
      <c r="L122" s="1"/>
      <c r="M122" s="1"/>
      <c r="N122" s="1"/>
      <c r="O122" s="1"/>
      <c r="P122" s="1"/>
      <c r="Q122" s="1"/>
      <c r="R122" s="1"/>
      <c r="S122" s="1"/>
      <c r="T122" s="1"/>
      <c r="U122" s="1"/>
      <c r="V122" s="1"/>
      <c r="W122" s="1"/>
      <c r="X122" s="1"/>
      <c r="Y122" s="1"/>
      <c r="Z122" s="1"/>
    </row>
    <row r="123" spans="1:26" ht="12.75" customHeight="1" x14ac:dyDescent="0.25">
      <c r="A123" s="1"/>
      <c r="B123" s="1"/>
      <c r="C123" s="1"/>
      <c r="D123" s="1"/>
      <c r="E123" s="1"/>
      <c r="F123" s="1"/>
      <c r="G123" s="15"/>
      <c r="H123" s="1"/>
      <c r="I123" s="1"/>
      <c r="J123" s="1"/>
      <c r="K123" s="1"/>
      <c r="L123" s="1"/>
      <c r="M123" s="1"/>
      <c r="N123" s="1"/>
      <c r="O123" s="1"/>
      <c r="P123" s="1"/>
      <c r="Q123" s="1"/>
      <c r="R123" s="1"/>
      <c r="S123" s="1"/>
      <c r="T123" s="1"/>
      <c r="U123" s="1"/>
      <c r="V123" s="1"/>
      <c r="W123" s="1"/>
      <c r="X123" s="1"/>
      <c r="Y123" s="1"/>
      <c r="Z123" s="1"/>
    </row>
    <row r="124" spans="1:26" ht="12.75" customHeight="1" x14ac:dyDescent="0.25">
      <c r="A124" s="1"/>
      <c r="B124" s="1"/>
      <c r="C124" s="1"/>
      <c r="D124" s="1"/>
      <c r="E124" s="1"/>
      <c r="F124" s="1"/>
      <c r="G124" s="15"/>
      <c r="H124" s="1"/>
      <c r="I124" s="1"/>
      <c r="J124" s="1"/>
      <c r="K124" s="1"/>
      <c r="L124" s="1"/>
      <c r="M124" s="1"/>
      <c r="N124" s="1"/>
      <c r="O124" s="1"/>
      <c r="P124" s="1"/>
      <c r="Q124" s="1"/>
      <c r="R124" s="1"/>
      <c r="S124" s="1"/>
      <c r="T124" s="1"/>
      <c r="U124" s="1"/>
      <c r="V124" s="1"/>
      <c r="W124" s="1"/>
      <c r="X124" s="1"/>
      <c r="Y124" s="1"/>
      <c r="Z124" s="1"/>
    </row>
    <row r="125" spans="1:26" ht="12.75" customHeight="1" x14ac:dyDescent="0.25">
      <c r="A125" s="1"/>
      <c r="B125" s="1"/>
      <c r="C125" s="1"/>
      <c r="D125" s="1"/>
      <c r="E125" s="1"/>
      <c r="F125" s="1"/>
      <c r="G125" s="15"/>
      <c r="H125" s="1"/>
      <c r="I125" s="1"/>
      <c r="J125" s="1"/>
      <c r="K125" s="1"/>
      <c r="L125" s="1"/>
      <c r="M125" s="1"/>
      <c r="N125" s="1"/>
      <c r="O125" s="1"/>
      <c r="P125" s="1"/>
      <c r="Q125" s="1"/>
      <c r="R125" s="1"/>
      <c r="S125" s="1"/>
      <c r="T125" s="1"/>
      <c r="U125" s="1"/>
      <c r="V125" s="1"/>
      <c r="W125" s="1"/>
      <c r="X125" s="1"/>
      <c r="Y125" s="1"/>
      <c r="Z125" s="1"/>
    </row>
    <row r="126" spans="1:26" ht="12.75" customHeight="1" x14ac:dyDescent="0.25">
      <c r="A126" s="1"/>
      <c r="B126" s="1"/>
      <c r="C126" s="1"/>
      <c r="D126" s="1"/>
      <c r="E126" s="1"/>
      <c r="F126" s="1"/>
      <c r="G126" s="15"/>
      <c r="H126" s="1"/>
      <c r="I126" s="1"/>
      <c r="J126" s="1"/>
      <c r="K126" s="1"/>
      <c r="L126" s="1"/>
      <c r="M126" s="1"/>
      <c r="N126" s="1"/>
      <c r="O126" s="1"/>
      <c r="P126" s="1"/>
      <c r="Q126" s="1"/>
      <c r="R126" s="1"/>
      <c r="S126" s="1"/>
      <c r="T126" s="1"/>
      <c r="U126" s="1"/>
      <c r="V126" s="1"/>
      <c r="W126" s="1"/>
      <c r="X126" s="1"/>
      <c r="Y126" s="1"/>
      <c r="Z126" s="1"/>
    </row>
    <row r="127" spans="1:26" ht="12.75" customHeight="1" x14ac:dyDescent="0.25">
      <c r="A127" s="1"/>
      <c r="B127" s="1"/>
      <c r="C127" s="1"/>
      <c r="D127" s="1"/>
      <c r="E127" s="1"/>
      <c r="F127" s="1"/>
      <c r="G127" s="15"/>
      <c r="H127" s="1"/>
      <c r="I127" s="1"/>
      <c r="J127" s="1"/>
      <c r="K127" s="1"/>
      <c r="L127" s="1"/>
      <c r="M127" s="1"/>
      <c r="N127" s="1"/>
      <c r="O127" s="1"/>
      <c r="P127" s="1"/>
      <c r="Q127" s="1"/>
      <c r="R127" s="1"/>
      <c r="S127" s="1"/>
      <c r="T127" s="1"/>
      <c r="U127" s="1"/>
      <c r="V127" s="1"/>
      <c r="W127" s="1"/>
      <c r="X127" s="1"/>
      <c r="Y127" s="1"/>
      <c r="Z127" s="1"/>
    </row>
    <row r="128" spans="1:26" ht="12.75" customHeight="1" x14ac:dyDescent="0.25">
      <c r="A128" s="1"/>
      <c r="B128" s="1"/>
      <c r="C128" s="1"/>
      <c r="D128" s="1"/>
      <c r="E128" s="1"/>
      <c r="F128" s="1"/>
      <c r="G128" s="15"/>
      <c r="H128" s="1"/>
      <c r="I128" s="1"/>
      <c r="J128" s="1"/>
      <c r="K128" s="1"/>
      <c r="L128" s="1"/>
      <c r="M128" s="1"/>
      <c r="N128" s="1"/>
      <c r="O128" s="1"/>
      <c r="P128" s="1"/>
      <c r="Q128" s="1"/>
      <c r="R128" s="1"/>
      <c r="S128" s="1"/>
      <c r="T128" s="1"/>
      <c r="U128" s="1"/>
      <c r="V128" s="1"/>
      <c r="W128" s="1"/>
      <c r="X128" s="1"/>
      <c r="Y128" s="1"/>
      <c r="Z128" s="1"/>
    </row>
    <row r="129" spans="1:26" ht="12.75" customHeight="1" x14ac:dyDescent="0.25">
      <c r="A129" s="1"/>
      <c r="B129" s="1"/>
      <c r="C129" s="1"/>
      <c r="D129" s="1"/>
      <c r="E129" s="1"/>
      <c r="F129" s="1"/>
      <c r="G129" s="15"/>
      <c r="H129" s="1"/>
      <c r="I129" s="1"/>
      <c r="J129" s="1"/>
      <c r="K129" s="1"/>
      <c r="L129" s="1"/>
      <c r="M129" s="1"/>
      <c r="N129" s="1"/>
      <c r="O129" s="1"/>
      <c r="P129" s="1"/>
      <c r="Q129" s="1"/>
      <c r="R129" s="1"/>
      <c r="S129" s="1"/>
      <c r="T129" s="1"/>
      <c r="U129" s="1"/>
      <c r="V129" s="1"/>
      <c r="W129" s="1"/>
      <c r="X129" s="1"/>
      <c r="Y129" s="1"/>
      <c r="Z129" s="1"/>
    </row>
    <row r="130" spans="1:26" ht="12.75" customHeight="1" x14ac:dyDescent="0.25">
      <c r="A130" s="1"/>
      <c r="B130" s="1"/>
      <c r="C130" s="1"/>
      <c r="D130" s="1"/>
      <c r="E130" s="1"/>
      <c r="F130" s="1"/>
      <c r="G130" s="15"/>
      <c r="H130" s="1"/>
      <c r="I130" s="1"/>
      <c r="J130" s="1"/>
      <c r="K130" s="1"/>
      <c r="L130" s="1"/>
      <c r="M130" s="1"/>
      <c r="N130" s="1"/>
      <c r="O130" s="1"/>
      <c r="P130" s="1"/>
      <c r="Q130" s="1"/>
      <c r="R130" s="1"/>
      <c r="S130" s="1"/>
      <c r="T130" s="1"/>
      <c r="U130" s="1"/>
      <c r="V130" s="1"/>
      <c r="W130" s="1"/>
      <c r="X130" s="1"/>
      <c r="Y130" s="1"/>
      <c r="Z130" s="1"/>
    </row>
    <row r="131" spans="1:26" ht="12.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A1:R1"/>
    <mergeCell ref="B2:B3"/>
    <mergeCell ref="C2:C3"/>
    <mergeCell ref="D2:D3"/>
    <mergeCell ref="E2:E3"/>
    <mergeCell ref="F2:F3"/>
    <mergeCell ref="O2:R2"/>
    <mergeCell ref="A4:A7"/>
    <mergeCell ref="A8:A10"/>
    <mergeCell ref="A11:A12"/>
    <mergeCell ref="G2:J2"/>
    <mergeCell ref="K2:N2"/>
    <mergeCell ref="A2:A3"/>
  </mergeCells>
  <conditionalFormatting sqref="G4:G11 K4:K5 O14:O1000 K14:K1000 G13:G1000 K11">
    <cfRule type="cellIs" dxfId="155" priority="50" operator="equal">
      <formula>"NO APLICA"</formula>
    </cfRule>
  </conditionalFormatting>
  <conditionalFormatting sqref="G4:G11 K4:K5 K14:K75 G13:G1000 K11">
    <cfRule type="cellIs" dxfId="154" priority="51" stopIfTrue="1" operator="equal">
      <formula>"FALLÓ"</formula>
    </cfRule>
  </conditionalFormatting>
  <conditionalFormatting sqref="G4:G11 K4:K5 K14:K75 G13:G1000 K11">
    <cfRule type="cellIs" dxfId="153" priority="52" operator="equal">
      <formula>"PASÓ"</formula>
    </cfRule>
  </conditionalFormatting>
  <conditionalFormatting sqref="K11 K14:K1000">
    <cfRule type="expression" dxfId="152" priority="53">
      <formula>$K11="FALLÓ"</formula>
    </cfRule>
  </conditionalFormatting>
  <conditionalFormatting sqref="K11 K14:K1000">
    <cfRule type="expression" dxfId="151" priority="54">
      <formula>$K11="PASÓ"</formula>
    </cfRule>
  </conditionalFormatting>
  <conditionalFormatting sqref="K11 O14:O1000 K14:K1000">
    <cfRule type="cellIs" dxfId="150" priority="55" operator="equal">
      <formula>"FALLÓ"</formula>
    </cfRule>
  </conditionalFormatting>
  <conditionalFormatting sqref="K11 O14:O1000 K14:K1000">
    <cfRule type="cellIs" dxfId="149" priority="56" operator="equal">
      <formula>"PASÓ"</formula>
    </cfRule>
  </conditionalFormatting>
  <conditionalFormatting sqref="O14:O1000">
    <cfRule type="expression" dxfId="148" priority="57">
      <formula>$O14="FALLÓ"</formula>
    </cfRule>
  </conditionalFormatting>
  <conditionalFormatting sqref="O14:O1000">
    <cfRule type="expression" dxfId="147" priority="58">
      <formula>$O14="PASÓ"</formula>
    </cfRule>
  </conditionalFormatting>
  <conditionalFormatting sqref="G12 K12">
    <cfRule type="cellIs" dxfId="48" priority="43" operator="equal">
      <formula>"NO APLICA"</formula>
    </cfRule>
  </conditionalFormatting>
  <conditionalFormatting sqref="G12 K12">
    <cfRule type="cellIs" dxfId="47" priority="44" stopIfTrue="1" operator="equal">
      <formula>"FALLÓ"</formula>
    </cfRule>
  </conditionalFormatting>
  <conditionalFormatting sqref="G12 K12">
    <cfRule type="cellIs" dxfId="46" priority="45" operator="equal">
      <formula>"PASÓ"</formula>
    </cfRule>
  </conditionalFormatting>
  <conditionalFormatting sqref="K12">
    <cfRule type="expression" dxfId="45" priority="46">
      <formula>$K12="FALLÓ"</formula>
    </cfRule>
  </conditionalFormatting>
  <conditionalFormatting sqref="K12">
    <cfRule type="expression" dxfId="44" priority="47">
      <formula>$K12="PASÓ"</formula>
    </cfRule>
  </conditionalFormatting>
  <conditionalFormatting sqref="K12">
    <cfRule type="cellIs" dxfId="43" priority="48" operator="equal">
      <formula>"FALLÓ"</formula>
    </cfRule>
  </conditionalFormatting>
  <conditionalFormatting sqref="K12">
    <cfRule type="cellIs" dxfId="42" priority="49" operator="equal">
      <formula>"PASÓ"</formula>
    </cfRule>
  </conditionalFormatting>
  <conditionalFormatting sqref="O4">
    <cfRule type="cellIs" dxfId="41" priority="40" operator="equal">
      <formula>"NO APLICA"</formula>
    </cfRule>
  </conditionalFormatting>
  <conditionalFormatting sqref="O4">
    <cfRule type="cellIs" dxfId="40" priority="41" stopIfTrue="1" operator="equal">
      <formula>"FALLÓ"</formula>
    </cfRule>
  </conditionalFormatting>
  <conditionalFormatting sqref="O4">
    <cfRule type="cellIs" dxfId="39" priority="42" operator="equal">
      <formula>"PASÓ"</formula>
    </cfRule>
  </conditionalFormatting>
  <conditionalFormatting sqref="O5">
    <cfRule type="cellIs" dxfId="38" priority="37" operator="equal">
      <formula>"NO APLICA"</formula>
    </cfRule>
  </conditionalFormatting>
  <conditionalFormatting sqref="O5">
    <cfRule type="cellIs" dxfId="37" priority="38" stopIfTrue="1" operator="equal">
      <formula>"FALLÓ"</formula>
    </cfRule>
  </conditionalFormatting>
  <conditionalFormatting sqref="O5">
    <cfRule type="cellIs" dxfId="36" priority="39" operator="equal">
      <formula>"PASÓ"</formula>
    </cfRule>
  </conditionalFormatting>
  <conditionalFormatting sqref="K6">
    <cfRule type="cellIs" dxfId="35" priority="34" operator="equal">
      <formula>"NO APLICA"</formula>
    </cfRule>
  </conditionalFormatting>
  <conditionalFormatting sqref="K6">
    <cfRule type="cellIs" dxfId="34" priority="35" stopIfTrue="1" operator="equal">
      <formula>"FALLÓ"</formula>
    </cfRule>
  </conditionalFormatting>
  <conditionalFormatting sqref="K6">
    <cfRule type="cellIs" dxfId="33" priority="36" operator="equal">
      <formula>"PASÓ"</formula>
    </cfRule>
  </conditionalFormatting>
  <conditionalFormatting sqref="O6">
    <cfRule type="cellIs" dxfId="32" priority="31" operator="equal">
      <formula>"NO APLICA"</formula>
    </cfRule>
  </conditionalFormatting>
  <conditionalFormatting sqref="O6">
    <cfRule type="cellIs" dxfId="31" priority="32" stopIfTrue="1" operator="equal">
      <formula>"FALLÓ"</formula>
    </cfRule>
  </conditionalFormatting>
  <conditionalFormatting sqref="O6">
    <cfRule type="cellIs" dxfId="30" priority="33" operator="equal">
      <formula>"PASÓ"</formula>
    </cfRule>
  </conditionalFormatting>
  <conditionalFormatting sqref="K7">
    <cfRule type="cellIs" dxfId="29" priority="28" operator="equal">
      <formula>"NO APLICA"</formula>
    </cfRule>
  </conditionalFormatting>
  <conditionalFormatting sqref="K7">
    <cfRule type="cellIs" dxfId="28" priority="29" stopIfTrue="1" operator="equal">
      <formula>"FALLÓ"</formula>
    </cfRule>
  </conditionalFormatting>
  <conditionalFormatting sqref="K7">
    <cfRule type="cellIs" dxfId="27" priority="30" operator="equal">
      <formula>"PASÓ"</formula>
    </cfRule>
  </conditionalFormatting>
  <conditionalFormatting sqref="O7">
    <cfRule type="cellIs" dxfId="26" priority="25" operator="equal">
      <formula>"NO APLICA"</formula>
    </cfRule>
  </conditionalFormatting>
  <conditionalFormatting sqref="O7">
    <cfRule type="cellIs" dxfId="25" priority="26" stopIfTrue="1" operator="equal">
      <formula>"FALLÓ"</formula>
    </cfRule>
  </conditionalFormatting>
  <conditionalFormatting sqref="O7">
    <cfRule type="cellIs" dxfId="24" priority="27" operator="equal">
      <formula>"PASÓ"</formula>
    </cfRule>
  </conditionalFormatting>
  <conditionalFormatting sqref="K8">
    <cfRule type="cellIs" dxfId="23" priority="22" operator="equal">
      <formula>"NO APLICA"</formula>
    </cfRule>
  </conditionalFormatting>
  <conditionalFormatting sqref="K8">
    <cfRule type="cellIs" dxfId="22" priority="23" stopIfTrue="1" operator="equal">
      <formula>"FALLÓ"</formula>
    </cfRule>
  </conditionalFormatting>
  <conditionalFormatting sqref="K8">
    <cfRule type="cellIs" dxfId="21" priority="24" operator="equal">
      <formula>"PASÓ"</formula>
    </cfRule>
  </conditionalFormatting>
  <conditionalFormatting sqref="O8">
    <cfRule type="cellIs" dxfId="20" priority="19" operator="equal">
      <formula>"NO APLICA"</formula>
    </cfRule>
  </conditionalFormatting>
  <conditionalFormatting sqref="O8">
    <cfRule type="cellIs" dxfId="19" priority="20" stopIfTrue="1" operator="equal">
      <formula>"FALLÓ"</formula>
    </cfRule>
  </conditionalFormatting>
  <conditionalFormatting sqref="O8">
    <cfRule type="cellIs" dxfId="18" priority="21" operator="equal">
      <formula>"PASÓ"</formula>
    </cfRule>
  </conditionalFormatting>
  <conditionalFormatting sqref="K9">
    <cfRule type="cellIs" dxfId="17" priority="16" operator="equal">
      <formula>"NO APLICA"</formula>
    </cfRule>
  </conditionalFormatting>
  <conditionalFormatting sqref="K9">
    <cfRule type="cellIs" dxfId="16" priority="17" stopIfTrue="1" operator="equal">
      <formula>"FALLÓ"</formula>
    </cfRule>
  </conditionalFormatting>
  <conditionalFormatting sqref="K9">
    <cfRule type="cellIs" dxfId="15" priority="18" operator="equal">
      <formula>"PASÓ"</formula>
    </cfRule>
  </conditionalFormatting>
  <conditionalFormatting sqref="O9">
    <cfRule type="cellIs" dxfId="14" priority="13" operator="equal">
      <formula>"NO APLICA"</formula>
    </cfRule>
  </conditionalFormatting>
  <conditionalFormatting sqref="O9">
    <cfRule type="cellIs" dxfId="13" priority="14" stopIfTrue="1" operator="equal">
      <formula>"FALLÓ"</formula>
    </cfRule>
  </conditionalFormatting>
  <conditionalFormatting sqref="O9">
    <cfRule type="cellIs" dxfId="12" priority="15" operator="equal">
      <formula>"PASÓ"</formula>
    </cfRule>
  </conditionalFormatting>
  <conditionalFormatting sqref="K10">
    <cfRule type="cellIs" dxfId="11" priority="10" operator="equal">
      <formula>"NO APLICA"</formula>
    </cfRule>
  </conditionalFormatting>
  <conditionalFormatting sqref="K10">
    <cfRule type="cellIs" dxfId="10" priority="11" stopIfTrue="1" operator="equal">
      <formula>"FALLÓ"</formula>
    </cfRule>
  </conditionalFormatting>
  <conditionalFormatting sqref="K10">
    <cfRule type="cellIs" dxfId="9" priority="12" operator="equal">
      <formula>"PASÓ"</formula>
    </cfRule>
  </conditionalFormatting>
  <conditionalFormatting sqref="O10">
    <cfRule type="cellIs" dxfId="8" priority="7" operator="equal">
      <formula>"NO APLICA"</formula>
    </cfRule>
  </conditionalFormatting>
  <conditionalFormatting sqref="O10">
    <cfRule type="cellIs" dxfId="7" priority="8" stopIfTrue="1" operator="equal">
      <formula>"FALLÓ"</formula>
    </cfRule>
  </conditionalFormatting>
  <conditionalFormatting sqref="O10">
    <cfRule type="cellIs" dxfId="6" priority="9" operator="equal">
      <formula>"PASÓ"</formula>
    </cfRule>
  </conditionalFormatting>
  <conditionalFormatting sqref="O11">
    <cfRule type="cellIs" dxfId="5" priority="4" operator="equal">
      <formula>"NO APLICA"</formula>
    </cfRule>
  </conditionalFormatting>
  <conditionalFormatting sqref="O11">
    <cfRule type="cellIs" dxfId="4" priority="5" stopIfTrue="1" operator="equal">
      <formula>"FALLÓ"</formula>
    </cfRule>
  </conditionalFormatting>
  <conditionalFormatting sqref="O11">
    <cfRule type="cellIs" dxfId="3" priority="6" operator="equal">
      <formula>"PASÓ"</formula>
    </cfRule>
  </conditionalFormatting>
  <conditionalFormatting sqref="O12">
    <cfRule type="cellIs" dxfId="2" priority="1" operator="equal">
      <formula>"NO APLICA"</formula>
    </cfRule>
  </conditionalFormatting>
  <conditionalFormatting sqref="O12">
    <cfRule type="cellIs" dxfId="1" priority="2" stopIfTrue="1" operator="equal">
      <formula>"FALLÓ"</formula>
    </cfRule>
  </conditionalFormatting>
  <conditionalFormatting sqref="O12">
    <cfRule type="cellIs" dxfId="0" priority="3" operator="equal">
      <formula>"PASÓ"</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Datos!$A$2:$A$4</xm:f>
          </x14:formula1>
          <xm:sqref>G4:G75 O14:O75 O4:O12 K4:K12 K14:K75</xm:sqref>
        </x14:dataValidation>
        <x14:dataValidation type="list" xr:uid="{00000000-0002-0000-0000-000001000000}">
          <x14:formula1>
            <xm:f>Datos!$A$2:$A$5</xm:f>
          </x14:formula1>
          <xm:sqref>G4:G13 O4:O12 K4:K12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31" workbookViewId="0">
      <selection sqref="A1:L1"/>
    </sheetView>
  </sheetViews>
  <sheetFormatPr baseColWidth="10" defaultColWidth="14.42578125" defaultRowHeight="15" x14ac:dyDescent="0.25"/>
  <cols>
    <col min="1" max="1" width="19.5703125" customWidth="1"/>
    <col min="2" max="3" width="17.5703125" customWidth="1"/>
    <col min="4" max="4" width="17.140625" customWidth="1"/>
    <col min="5" max="6" width="25.5703125" customWidth="1"/>
    <col min="7" max="7" width="20.28515625" customWidth="1"/>
    <col min="8" max="8" width="25.5703125" customWidth="1"/>
    <col min="9" max="9" width="19" customWidth="1"/>
    <col min="10" max="10" width="25.5703125" customWidth="1"/>
    <col min="11" max="11" width="20" customWidth="1"/>
    <col min="12" max="12" width="27.7109375" customWidth="1"/>
    <col min="13" max="26" width="11.42578125" customWidth="1"/>
  </cols>
  <sheetData>
    <row r="1" spans="1:26" ht="40.5" customHeight="1" x14ac:dyDescent="0.25">
      <c r="A1" s="59" t="s">
        <v>15</v>
      </c>
      <c r="B1" s="60"/>
      <c r="C1" s="60"/>
      <c r="D1" s="60"/>
      <c r="E1" s="60"/>
      <c r="F1" s="60"/>
      <c r="G1" s="60"/>
      <c r="H1" s="60"/>
      <c r="I1" s="60"/>
      <c r="J1" s="60"/>
      <c r="K1" s="60"/>
      <c r="L1" s="61"/>
    </row>
    <row r="2" spans="1:26" ht="23.25" customHeight="1" x14ac:dyDescent="0.25">
      <c r="A2" s="4" t="s">
        <v>16</v>
      </c>
      <c r="B2" s="4" t="s">
        <v>10</v>
      </c>
      <c r="C2" s="4" t="s">
        <v>17</v>
      </c>
      <c r="D2" s="4" t="s">
        <v>18</v>
      </c>
      <c r="E2" s="4" t="s">
        <v>19</v>
      </c>
      <c r="F2" s="4" t="s">
        <v>20</v>
      </c>
      <c r="G2" s="4" t="s">
        <v>21</v>
      </c>
      <c r="H2" s="4" t="s">
        <v>22</v>
      </c>
      <c r="I2" s="4" t="s">
        <v>23</v>
      </c>
      <c r="J2" s="4" t="s">
        <v>11</v>
      </c>
      <c r="K2" s="4" t="s">
        <v>24</v>
      </c>
      <c r="L2" s="4" t="s">
        <v>25</v>
      </c>
      <c r="M2" s="1"/>
      <c r="N2" s="1"/>
      <c r="O2" s="1"/>
      <c r="P2" s="1"/>
      <c r="Q2" s="1"/>
      <c r="R2" s="1"/>
      <c r="S2" s="1"/>
      <c r="T2" s="1"/>
      <c r="U2" s="1"/>
      <c r="V2" s="1"/>
      <c r="W2" s="1"/>
      <c r="X2" s="1"/>
      <c r="Y2" s="1"/>
      <c r="Z2" s="1"/>
    </row>
    <row r="3" spans="1:26" x14ac:dyDescent="0.25">
      <c r="A3" s="7"/>
      <c r="B3" s="9"/>
      <c r="C3" s="7"/>
      <c r="D3" s="10"/>
      <c r="E3" s="10"/>
      <c r="F3" s="10"/>
      <c r="G3" s="10"/>
      <c r="H3" s="10"/>
      <c r="I3" s="10"/>
      <c r="J3" s="10"/>
      <c r="K3" s="10"/>
      <c r="L3" s="10"/>
      <c r="M3" s="11"/>
      <c r="N3" s="11"/>
      <c r="O3" s="11"/>
      <c r="P3" s="11"/>
      <c r="Q3" s="11"/>
      <c r="R3" s="11"/>
      <c r="S3" s="11"/>
      <c r="T3" s="11"/>
      <c r="U3" s="11"/>
      <c r="V3" s="11"/>
      <c r="W3" s="11"/>
      <c r="X3" s="11"/>
      <c r="Y3" s="11"/>
      <c r="Z3" s="11"/>
    </row>
    <row r="4" spans="1:26" x14ac:dyDescent="0.25">
      <c r="A4" s="7"/>
      <c r="B4" s="9"/>
      <c r="C4" s="12"/>
      <c r="D4" s="10"/>
      <c r="E4" s="10"/>
      <c r="F4" s="10"/>
      <c r="G4" s="10"/>
      <c r="H4" s="10"/>
      <c r="I4" s="10"/>
      <c r="J4" s="10"/>
      <c r="K4" s="10"/>
      <c r="L4" s="10"/>
      <c r="M4" s="11"/>
      <c r="N4" s="11"/>
      <c r="O4" s="11"/>
      <c r="P4" s="11"/>
      <c r="Q4" s="11"/>
      <c r="R4" s="11"/>
      <c r="S4" s="11"/>
      <c r="T4" s="11"/>
      <c r="U4" s="11"/>
      <c r="V4" s="11"/>
      <c r="W4" s="11"/>
      <c r="X4" s="11"/>
      <c r="Y4" s="11"/>
      <c r="Z4" s="11"/>
    </row>
    <row r="5" spans="1:26" x14ac:dyDescent="0.25">
      <c r="A5" s="7"/>
      <c r="B5" s="9"/>
      <c r="C5" s="12"/>
      <c r="D5" s="10"/>
      <c r="E5" s="10"/>
      <c r="F5" s="10"/>
      <c r="G5" s="10"/>
      <c r="H5" s="10"/>
      <c r="I5" s="10"/>
      <c r="J5" s="10"/>
      <c r="K5" s="10"/>
      <c r="L5" s="10"/>
      <c r="M5" s="11"/>
      <c r="N5" s="11"/>
      <c r="O5" s="11"/>
      <c r="P5" s="11"/>
      <c r="Q5" s="11"/>
      <c r="R5" s="11"/>
      <c r="S5" s="11"/>
      <c r="T5" s="11"/>
      <c r="U5" s="11"/>
      <c r="V5" s="11"/>
      <c r="W5" s="11"/>
      <c r="X5" s="11"/>
      <c r="Y5" s="11"/>
      <c r="Z5" s="11"/>
    </row>
    <row r="6" spans="1:26" x14ac:dyDescent="0.25">
      <c r="A6" s="7"/>
      <c r="B6" s="9"/>
      <c r="C6" s="12"/>
      <c r="D6" s="10"/>
      <c r="E6" s="10"/>
      <c r="F6" s="10"/>
      <c r="G6" s="10"/>
      <c r="H6" s="10"/>
      <c r="I6" s="10"/>
      <c r="J6" s="10"/>
      <c r="K6" s="10"/>
      <c r="L6" s="10"/>
      <c r="M6" s="11"/>
      <c r="N6" s="11"/>
      <c r="O6" s="11"/>
      <c r="P6" s="11"/>
      <c r="Q6" s="11"/>
      <c r="R6" s="11"/>
      <c r="S6" s="11"/>
      <c r="T6" s="11"/>
      <c r="U6" s="11"/>
      <c r="V6" s="11"/>
      <c r="W6" s="11"/>
      <c r="X6" s="11"/>
      <c r="Y6" s="11"/>
      <c r="Z6" s="11"/>
    </row>
    <row r="7" spans="1:26" x14ac:dyDescent="0.25">
      <c r="A7" s="7"/>
      <c r="B7" s="9"/>
      <c r="C7" s="12"/>
      <c r="D7" s="10"/>
      <c r="E7" s="10"/>
      <c r="F7" s="10"/>
      <c r="G7" s="10"/>
      <c r="H7" s="10"/>
      <c r="I7" s="10"/>
      <c r="J7" s="10"/>
      <c r="K7" s="10"/>
      <c r="L7" s="10"/>
      <c r="M7" s="11"/>
      <c r="N7" s="11"/>
      <c r="O7" s="11"/>
      <c r="P7" s="11"/>
      <c r="Q7" s="11"/>
      <c r="R7" s="11"/>
      <c r="S7" s="11"/>
      <c r="T7" s="11"/>
      <c r="U7" s="11"/>
      <c r="V7" s="11"/>
      <c r="W7" s="11"/>
      <c r="X7" s="11"/>
      <c r="Y7" s="11"/>
      <c r="Z7" s="11"/>
    </row>
    <row r="8" spans="1:26" x14ac:dyDescent="0.25">
      <c r="A8" s="7"/>
      <c r="B8" s="9"/>
      <c r="C8" s="12"/>
      <c r="D8" s="10"/>
      <c r="E8" s="10"/>
      <c r="F8" s="10"/>
      <c r="G8" s="10"/>
      <c r="H8" s="10"/>
      <c r="I8" s="10"/>
      <c r="J8" s="10"/>
      <c r="K8" s="10"/>
      <c r="L8" s="10"/>
      <c r="M8" s="11"/>
      <c r="N8" s="11"/>
      <c r="O8" s="11"/>
      <c r="P8" s="11"/>
      <c r="Q8" s="11"/>
      <c r="R8" s="11"/>
      <c r="S8" s="11"/>
      <c r="T8" s="11"/>
      <c r="U8" s="11"/>
      <c r="V8" s="11"/>
      <c r="W8" s="11"/>
      <c r="X8" s="11"/>
      <c r="Y8" s="11"/>
      <c r="Z8" s="11"/>
    </row>
    <row r="9" spans="1:26" x14ac:dyDescent="0.25">
      <c r="A9" s="7"/>
      <c r="B9" s="9"/>
      <c r="C9" s="12"/>
      <c r="D9" s="10"/>
      <c r="E9" s="10"/>
      <c r="F9" s="10"/>
      <c r="G9" s="10"/>
      <c r="H9" s="10"/>
      <c r="I9" s="10"/>
      <c r="J9" s="10"/>
      <c r="K9" s="10"/>
      <c r="L9" s="10"/>
      <c r="M9" s="11"/>
      <c r="N9" s="11"/>
      <c r="O9" s="11"/>
      <c r="P9" s="11"/>
      <c r="Q9" s="11"/>
      <c r="R9" s="11"/>
      <c r="S9" s="11"/>
      <c r="T9" s="11"/>
      <c r="U9" s="11"/>
      <c r="V9" s="11"/>
      <c r="W9" s="11"/>
      <c r="X9" s="11"/>
      <c r="Y9" s="11"/>
      <c r="Z9" s="11"/>
    </row>
    <row r="10" spans="1:26" x14ac:dyDescent="0.25">
      <c r="A10" s="7"/>
      <c r="B10" s="9"/>
      <c r="C10" s="12"/>
      <c r="D10" s="10"/>
      <c r="E10" s="10"/>
      <c r="F10" s="10"/>
      <c r="G10" s="10"/>
      <c r="H10" s="10"/>
      <c r="I10" s="10"/>
      <c r="J10" s="10"/>
      <c r="K10" s="10"/>
      <c r="L10" s="10"/>
      <c r="M10" s="11"/>
      <c r="N10" s="11"/>
      <c r="O10" s="11"/>
      <c r="P10" s="11"/>
      <c r="Q10" s="11"/>
      <c r="R10" s="11"/>
      <c r="S10" s="11"/>
      <c r="T10" s="11"/>
      <c r="U10" s="11"/>
      <c r="V10" s="11"/>
      <c r="W10" s="11"/>
      <c r="X10" s="11"/>
      <c r="Y10" s="11"/>
      <c r="Z10" s="11"/>
    </row>
    <row r="11" spans="1:26" x14ac:dyDescent="0.25">
      <c r="A11" s="7"/>
      <c r="B11" s="9"/>
      <c r="C11" s="12"/>
      <c r="D11" s="10"/>
      <c r="E11" s="10"/>
      <c r="F11" s="10"/>
      <c r="G11" s="10"/>
      <c r="H11" s="10"/>
      <c r="I11" s="10"/>
      <c r="J11" s="10"/>
      <c r="K11" s="10"/>
      <c r="L11" s="10"/>
      <c r="M11" s="11"/>
      <c r="N11" s="11"/>
      <c r="O11" s="11"/>
      <c r="P11" s="11"/>
      <c r="Q11" s="11"/>
      <c r="R11" s="11"/>
      <c r="S11" s="11"/>
      <c r="T11" s="11"/>
      <c r="U11" s="11"/>
      <c r="V11" s="11"/>
      <c r="W11" s="11"/>
      <c r="X11" s="11"/>
      <c r="Y11" s="11"/>
      <c r="Z11" s="11"/>
    </row>
    <row r="12" spans="1:26" x14ac:dyDescent="0.25">
      <c r="A12" s="7"/>
      <c r="B12" s="9"/>
      <c r="C12" s="12"/>
      <c r="D12" s="10"/>
      <c r="E12" s="10"/>
      <c r="F12" s="10"/>
      <c r="G12" s="10"/>
      <c r="H12" s="10"/>
      <c r="I12" s="10"/>
      <c r="J12" s="10"/>
      <c r="K12" s="10"/>
      <c r="L12" s="10"/>
      <c r="M12" s="11"/>
      <c r="N12" s="11"/>
      <c r="O12" s="11"/>
      <c r="P12" s="11"/>
      <c r="Q12" s="11"/>
      <c r="R12" s="11"/>
      <c r="S12" s="11"/>
      <c r="T12" s="11"/>
      <c r="U12" s="11"/>
      <c r="V12" s="11"/>
      <c r="W12" s="11"/>
      <c r="X12" s="11"/>
      <c r="Y12" s="11"/>
      <c r="Z12" s="11"/>
    </row>
    <row r="13" spans="1:26" x14ac:dyDescent="0.25">
      <c r="A13" s="7"/>
      <c r="B13" s="9"/>
      <c r="C13" s="12"/>
      <c r="D13" s="10"/>
      <c r="E13" s="10"/>
      <c r="F13" s="10"/>
      <c r="G13" s="10"/>
      <c r="H13" s="10"/>
      <c r="I13" s="10"/>
      <c r="J13" s="10"/>
      <c r="K13" s="10"/>
      <c r="L13" s="10"/>
      <c r="M13" s="11"/>
      <c r="N13" s="11"/>
      <c r="O13" s="11"/>
      <c r="P13" s="11"/>
      <c r="Q13" s="11"/>
      <c r="R13" s="11"/>
      <c r="S13" s="11"/>
      <c r="T13" s="11"/>
      <c r="U13" s="11"/>
      <c r="V13" s="11"/>
      <c r="W13" s="11"/>
      <c r="X13" s="11"/>
      <c r="Y13" s="11"/>
      <c r="Z13" s="11"/>
    </row>
    <row r="14" spans="1:26" x14ac:dyDescent="0.25">
      <c r="A14" s="7"/>
      <c r="B14" s="9"/>
      <c r="C14" s="12"/>
      <c r="D14" s="10"/>
      <c r="E14" s="10"/>
      <c r="F14" s="10"/>
      <c r="G14" s="10"/>
      <c r="H14" s="10"/>
      <c r="I14" s="10"/>
      <c r="J14" s="10"/>
      <c r="K14" s="10"/>
      <c r="L14" s="10"/>
      <c r="M14" s="11"/>
      <c r="N14" s="11"/>
      <c r="O14" s="11"/>
      <c r="P14" s="11"/>
      <c r="Q14" s="11"/>
      <c r="R14" s="11"/>
      <c r="S14" s="11"/>
      <c r="T14" s="11"/>
      <c r="U14" s="11"/>
      <c r="V14" s="11"/>
      <c r="W14" s="11"/>
      <c r="X14" s="11"/>
      <c r="Y14" s="11"/>
      <c r="Z14" s="11"/>
    </row>
    <row r="15" spans="1:26" x14ac:dyDescent="0.25">
      <c r="A15" s="7"/>
      <c r="B15" s="9"/>
      <c r="C15" s="12"/>
      <c r="D15" s="10"/>
      <c r="E15" s="10"/>
      <c r="F15" s="10"/>
      <c r="G15" s="10"/>
      <c r="H15" s="10"/>
      <c r="I15" s="10"/>
      <c r="J15" s="10"/>
      <c r="K15" s="10"/>
      <c r="L15" s="10"/>
      <c r="M15" s="11"/>
      <c r="N15" s="11"/>
      <c r="O15" s="11"/>
      <c r="P15" s="11"/>
      <c r="Q15" s="11"/>
      <c r="R15" s="11"/>
      <c r="S15" s="11"/>
      <c r="T15" s="11"/>
      <c r="U15" s="11"/>
      <c r="V15" s="11"/>
      <c r="W15" s="11"/>
      <c r="X15" s="11"/>
      <c r="Y15" s="11"/>
      <c r="Z15" s="11"/>
    </row>
    <row r="16" spans="1:26" x14ac:dyDescent="0.25">
      <c r="A16" s="7"/>
      <c r="B16" s="9"/>
      <c r="C16" s="12"/>
      <c r="D16" s="10"/>
      <c r="E16" s="10"/>
      <c r="F16" s="10"/>
      <c r="G16" s="10"/>
      <c r="H16" s="10"/>
      <c r="I16" s="10"/>
      <c r="J16" s="10"/>
      <c r="K16" s="10"/>
      <c r="L16" s="10"/>
      <c r="M16" s="11"/>
      <c r="N16" s="11"/>
      <c r="O16" s="11"/>
      <c r="P16" s="11"/>
      <c r="Q16" s="11"/>
      <c r="R16" s="11"/>
      <c r="S16" s="11"/>
      <c r="T16" s="11"/>
      <c r="U16" s="11"/>
      <c r="V16" s="11"/>
      <c r="W16" s="11"/>
      <c r="X16" s="11"/>
      <c r="Y16" s="11"/>
      <c r="Z16" s="11"/>
    </row>
    <row r="17" spans="1:26" x14ac:dyDescent="0.25">
      <c r="A17" s="7"/>
      <c r="B17" s="9"/>
      <c r="C17" s="12"/>
      <c r="D17" s="10"/>
      <c r="E17" s="10"/>
      <c r="F17" s="10"/>
      <c r="G17" s="10"/>
      <c r="H17" s="10"/>
      <c r="I17" s="10"/>
      <c r="J17" s="10"/>
      <c r="K17" s="10"/>
      <c r="L17" s="10"/>
      <c r="M17" s="11"/>
      <c r="N17" s="11"/>
      <c r="O17" s="11"/>
      <c r="P17" s="11"/>
      <c r="Q17" s="11"/>
      <c r="R17" s="11"/>
      <c r="S17" s="11"/>
      <c r="T17" s="11"/>
      <c r="U17" s="11"/>
      <c r="V17" s="11"/>
      <c r="W17" s="11"/>
      <c r="X17" s="11"/>
      <c r="Y17" s="11"/>
      <c r="Z17" s="11"/>
    </row>
    <row r="18" spans="1:26" x14ac:dyDescent="0.25">
      <c r="A18" s="7"/>
      <c r="B18" s="9"/>
      <c r="C18" s="12"/>
      <c r="D18" s="10"/>
      <c r="E18" s="10"/>
      <c r="F18" s="10"/>
      <c r="G18" s="10"/>
      <c r="H18" s="10"/>
      <c r="I18" s="10"/>
      <c r="J18" s="10"/>
      <c r="K18" s="10"/>
      <c r="L18" s="10"/>
      <c r="M18" s="11"/>
      <c r="N18" s="11"/>
      <c r="O18" s="11"/>
      <c r="P18" s="11"/>
      <c r="Q18" s="11"/>
      <c r="R18" s="11"/>
      <c r="S18" s="11"/>
      <c r="T18" s="11"/>
      <c r="U18" s="11"/>
      <c r="V18" s="11"/>
      <c r="W18" s="11"/>
      <c r="X18" s="11"/>
      <c r="Y18" s="11"/>
      <c r="Z18" s="11"/>
    </row>
    <row r="19" spans="1:26" x14ac:dyDescent="0.25">
      <c r="A19" s="7"/>
      <c r="B19" s="9"/>
      <c r="C19" s="12"/>
      <c r="D19" s="10"/>
      <c r="E19" s="10"/>
      <c r="F19" s="10"/>
      <c r="G19" s="10"/>
      <c r="H19" s="10"/>
      <c r="I19" s="10"/>
      <c r="J19" s="10"/>
      <c r="K19" s="10"/>
      <c r="L19" s="10"/>
      <c r="M19" s="11"/>
      <c r="N19" s="11"/>
      <c r="O19" s="11"/>
      <c r="P19" s="11"/>
      <c r="Q19" s="11"/>
      <c r="R19" s="11"/>
      <c r="S19" s="11"/>
      <c r="T19" s="11"/>
      <c r="U19" s="11"/>
      <c r="V19" s="11"/>
      <c r="W19" s="11"/>
      <c r="X19" s="11"/>
      <c r="Y19" s="11"/>
      <c r="Z19" s="11"/>
    </row>
    <row r="20" spans="1:26" x14ac:dyDescent="0.25">
      <c r="A20" s="7"/>
      <c r="B20" s="9"/>
      <c r="C20" s="12"/>
      <c r="D20" s="10"/>
      <c r="E20" s="10"/>
      <c r="F20" s="10"/>
      <c r="G20" s="10"/>
      <c r="H20" s="10"/>
      <c r="I20" s="10"/>
      <c r="J20" s="10"/>
      <c r="K20" s="10"/>
      <c r="L20" s="10"/>
      <c r="M20" s="11"/>
      <c r="N20" s="11"/>
      <c r="O20" s="11"/>
      <c r="P20" s="11"/>
      <c r="Q20" s="11"/>
      <c r="R20" s="11"/>
      <c r="S20" s="11"/>
      <c r="T20" s="11"/>
      <c r="U20" s="11"/>
      <c r="V20" s="11"/>
      <c r="W20" s="11"/>
      <c r="X20" s="11"/>
      <c r="Y20" s="11"/>
      <c r="Z20" s="11"/>
    </row>
    <row r="21" spans="1:26" ht="15.75" customHeight="1" x14ac:dyDescent="0.25">
      <c r="A21" s="7"/>
      <c r="B21" s="9"/>
      <c r="C21" s="12"/>
      <c r="D21" s="10"/>
      <c r="E21" s="10"/>
      <c r="F21" s="10"/>
      <c r="G21" s="10"/>
      <c r="H21" s="10"/>
      <c r="I21" s="10"/>
      <c r="J21" s="10"/>
      <c r="K21" s="10"/>
      <c r="L21" s="10"/>
      <c r="M21" s="11"/>
      <c r="N21" s="11"/>
      <c r="O21" s="11"/>
      <c r="P21" s="11"/>
      <c r="Q21" s="11"/>
      <c r="R21" s="11"/>
      <c r="S21" s="11"/>
      <c r="T21" s="11"/>
      <c r="U21" s="11"/>
      <c r="V21" s="11"/>
      <c r="W21" s="11"/>
      <c r="X21" s="11"/>
      <c r="Y21" s="11"/>
      <c r="Z21" s="11"/>
    </row>
    <row r="22" spans="1:26" ht="15.75" customHeight="1" x14ac:dyDescent="0.25">
      <c r="A22" s="7"/>
      <c r="B22" s="9"/>
      <c r="C22" s="12"/>
      <c r="D22" s="10"/>
      <c r="E22" s="10"/>
      <c r="F22" s="10"/>
      <c r="G22" s="10"/>
      <c r="H22" s="10"/>
      <c r="I22" s="10"/>
      <c r="J22" s="10"/>
      <c r="K22" s="10"/>
      <c r="L22" s="10"/>
      <c r="M22" s="11"/>
      <c r="N22" s="11"/>
      <c r="O22" s="11"/>
      <c r="P22" s="11"/>
      <c r="Q22" s="11"/>
      <c r="R22" s="11"/>
      <c r="S22" s="11"/>
      <c r="T22" s="11"/>
      <c r="U22" s="11"/>
      <c r="V22" s="11"/>
      <c r="W22" s="11"/>
      <c r="X22" s="11"/>
      <c r="Y22" s="11"/>
      <c r="Z22" s="11"/>
    </row>
    <row r="23" spans="1:26" ht="15.75" customHeight="1" x14ac:dyDescent="0.25">
      <c r="A23" s="7"/>
      <c r="B23" s="9"/>
      <c r="C23" s="12"/>
      <c r="D23" s="10"/>
      <c r="E23" s="10"/>
      <c r="F23" s="10"/>
      <c r="G23" s="10"/>
      <c r="H23" s="10"/>
      <c r="I23" s="10"/>
      <c r="J23" s="10"/>
      <c r="K23" s="10"/>
      <c r="L23" s="10"/>
      <c r="M23" s="11"/>
      <c r="N23" s="11"/>
      <c r="O23" s="11"/>
      <c r="P23" s="11"/>
      <c r="Q23" s="11"/>
      <c r="R23" s="11"/>
      <c r="S23" s="11"/>
      <c r="T23" s="11"/>
      <c r="U23" s="11"/>
      <c r="V23" s="11"/>
      <c r="W23" s="11"/>
      <c r="X23" s="11"/>
      <c r="Y23" s="11"/>
      <c r="Z23" s="11"/>
    </row>
    <row r="24" spans="1:26" ht="15.75" customHeight="1" x14ac:dyDescent="0.25">
      <c r="A24" s="7"/>
      <c r="B24" s="9"/>
      <c r="C24" s="12"/>
      <c r="D24" s="10"/>
      <c r="E24" s="10"/>
      <c r="F24" s="10"/>
      <c r="G24" s="10"/>
      <c r="H24" s="10"/>
      <c r="I24" s="10"/>
      <c r="J24" s="10"/>
      <c r="K24" s="10"/>
      <c r="L24" s="10"/>
      <c r="M24" s="11"/>
      <c r="N24" s="11"/>
      <c r="O24" s="11"/>
      <c r="P24" s="11"/>
      <c r="Q24" s="11"/>
      <c r="R24" s="11"/>
      <c r="S24" s="11"/>
      <c r="T24" s="11"/>
      <c r="U24" s="11"/>
      <c r="V24" s="11"/>
      <c r="W24" s="11"/>
      <c r="X24" s="11"/>
      <c r="Y24" s="11"/>
      <c r="Z24" s="11"/>
    </row>
    <row r="25" spans="1:26" ht="15.75" customHeight="1" x14ac:dyDescent="0.25">
      <c r="A25" s="7"/>
      <c r="B25" s="9"/>
      <c r="C25" s="12"/>
      <c r="D25" s="10"/>
      <c r="E25" s="10"/>
      <c r="F25" s="10"/>
      <c r="G25" s="10"/>
      <c r="H25" s="10"/>
      <c r="I25" s="10"/>
      <c r="J25" s="10"/>
      <c r="K25" s="10"/>
      <c r="L25" s="10"/>
      <c r="M25" s="11"/>
      <c r="N25" s="11"/>
      <c r="O25" s="11"/>
      <c r="P25" s="11"/>
      <c r="Q25" s="11"/>
      <c r="R25" s="11"/>
      <c r="S25" s="11"/>
      <c r="T25" s="11"/>
      <c r="U25" s="11"/>
      <c r="V25" s="11"/>
      <c r="W25" s="11"/>
      <c r="X25" s="11"/>
      <c r="Y25" s="11"/>
      <c r="Z25" s="11"/>
    </row>
    <row r="26" spans="1:26" ht="15.75" customHeight="1" x14ac:dyDescent="0.25">
      <c r="A26" s="7"/>
      <c r="B26" s="9"/>
      <c r="C26" s="12"/>
      <c r="D26" s="10"/>
      <c r="E26" s="10"/>
      <c r="F26" s="10"/>
      <c r="G26" s="10"/>
      <c r="H26" s="10"/>
      <c r="I26" s="10"/>
      <c r="J26" s="10"/>
      <c r="K26" s="10"/>
      <c r="L26" s="10"/>
      <c r="M26" s="11"/>
      <c r="N26" s="11"/>
      <c r="O26" s="11"/>
      <c r="P26" s="11"/>
      <c r="Q26" s="11"/>
      <c r="R26" s="11"/>
      <c r="S26" s="11"/>
      <c r="T26" s="11"/>
      <c r="U26" s="11"/>
      <c r="V26" s="11"/>
      <c r="W26" s="11"/>
      <c r="X26" s="11"/>
      <c r="Y26" s="11"/>
      <c r="Z26" s="11"/>
    </row>
    <row r="27" spans="1:26" ht="15.75" customHeight="1" x14ac:dyDescent="0.25">
      <c r="A27" s="7"/>
      <c r="B27" s="9"/>
      <c r="C27" s="12"/>
      <c r="D27" s="10"/>
      <c r="E27" s="10"/>
      <c r="F27" s="10"/>
      <c r="G27" s="10"/>
      <c r="H27" s="10"/>
      <c r="I27" s="10"/>
      <c r="J27" s="10"/>
      <c r="K27" s="10"/>
      <c r="L27" s="10"/>
      <c r="M27" s="11"/>
      <c r="N27" s="11"/>
      <c r="O27" s="11"/>
      <c r="P27" s="11"/>
      <c r="Q27" s="11"/>
      <c r="R27" s="11"/>
      <c r="S27" s="11"/>
      <c r="T27" s="11"/>
      <c r="U27" s="11"/>
      <c r="V27" s="11"/>
      <c r="W27" s="11"/>
      <c r="X27" s="11"/>
      <c r="Y27" s="11"/>
      <c r="Z27" s="11"/>
    </row>
    <row r="28" spans="1:26" ht="15.75" customHeight="1" x14ac:dyDescent="0.25">
      <c r="A28" s="7"/>
      <c r="B28" s="9"/>
      <c r="C28" s="12"/>
      <c r="D28" s="10"/>
      <c r="E28" s="10"/>
      <c r="F28" s="10"/>
      <c r="G28" s="10"/>
      <c r="H28" s="10"/>
      <c r="I28" s="10"/>
      <c r="J28" s="10"/>
      <c r="K28" s="10"/>
      <c r="L28" s="10"/>
      <c r="M28" s="11"/>
      <c r="N28" s="11"/>
      <c r="O28" s="11"/>
      <c r="P28" s="11"/>
      <c r="Q28" s="11"/>
      <c r="R28" s="11"/>
      <c r="S28" s="11"/>
      <c r="T28" s="11"/>
      <c r="U28" s="11"/>
      <c r="V28" s="11"/>
      <c r="W28" s="11"/>
      <c r="X28" s="11"/>
      <c r="Y28" s="11"/>
      <c r="Z28" s="11"/>
    </row>
    <row r="29" spans="1:26" ht="15.75" customHeight="1" x14ac:dyDescent="0.25">
      <c r="A29" s="7"/>
      <c r="B29" s="9"/>
      <c r="C29" s="12"/>
      <c r="D29" s="10"/>
      <c r="E29" s="10"/>
      <c r="F29" s="10"/>
      <c r="G29" s="10"/>
      <c r="H29" s="10"/>
      <c r="I29" s="10"/>
      <c r="J29" s="10"/>
      <c r="K29" s="10"/>
      <c r="L29" s="10"/>
      <c r="M29" s="11"/>
      <c r="N29" s="11"/>
      <c r="O29" s="11"/>
      <c r="P29" s="11"/>
      <c r="Q29" s="11"/>
      <c r="R29" s="11"/>
      <c r="S29" s="11"/>
      <c r="T29" s="11"/>
      <c r="U29" s="11"/>
      <c r="V29" s="11"/>
      <c r="W29" s="11"/>
      <c r="X29" s="11"/>
      <c r="Y29" s="11"/>
      <c r="Z29" s="11"/>
    </row>
    <row r="30" spans="1:26" ht="15.75" customHeight="1" x14ac:dyDescent="0.25">
      <c r="A30" s="7"/>
      <c r="B30" s="9"/>
      <c r="C30" s="12"/>
      <c r="D30" s="10"/>
      <c r="E30" s="10"/>
      <c r="F30" s="10"/>
      <c r="G30" s="10"/>
      <c r="H30" s="10"/>
      <c r="I30" s="10"/>
      <c r="J30" s="10"/>
      <c r="K30" s="10"/>
      <c r="L30" s="10"/>
      <c r="M30" s="11"/>
      <c r="N30" s="11"/>
      <c r="O30" s="11"/>
      <c r="P30" s="11"/>
      <c r="Q30" s="11"/>
      <c r="R30" s="11"/>
      <c r="S30" s="11"/>
      <c r="T30" s="11"/>
      <c r="U30" s="11"/>
      <c r="V30" s="11"/>
      <c r="W30" s="11"/>
      <c r="X30" s="11"/>
      <c r="Y30" s="11"/>
      <c r="Z30" s="11"/>
    </row>
    <row r="31" spans="1:26" ht="15.75" customHeight="1" x14ac:dyDescent="0.25">
      <c r="A31" s="7"/>
      <c r="B31" s="9"/>
      <c r="C31" s="12"/>
      <c r="D31" s="10"/>
      <c r="E31" s="10"/>
      <c r="F31" s="10"/>
      <c r="G31" s="10"/>
      <c r="H31" s="10"/>
      <c r="I31" s="10"/>
      <c r="J31" s="10"/>
      <c r="K31" s="10"/>
      <c r="L31" s="10"/>
      <c r="M31" s="11"/>
      <c r="N31" s="11"/>
      <c r="O31" s="11"/>
      <c r="P31" s="11"/>
      <c r="Q31" s="11"/>
      <c r="R31" s="11"/>
      <c r="S31" s="11"/>
      <c r="T31" s="11"/>
      <c r="U31" s="11"/>
      <c r="V31" s="11"/>
      <c r="W31" s="11"/>
      <c r="X31" s="11"/>
      <c r="Y31" s="11"/>
      <c r="Z31" s="11"/>
    </row>
    <row r="32" spans="1:26" ht="15.75" customHeight="1" x14ac:dyDescent="0.25">
      <c r="A32" s="7"/>
      <c r="B32" s="9"/>
      <c r="C32" s="12"/>
      <c r="D32" s="10"/>
      <c r="E32" s="10"/>
      <c r="F32" s="10"/>
      <c r="G32" s="10"/>
      <c r="H32" s="10"/>
      <c r="I32" s="10"/>
      <c r="J32" s="10"/>
      <c r="K32" s="10"/>
      <c r="L32" s="10"/>
      <c r="M32" s="11"/>
      <c r="N32" s="11"/>
      <c r="O32" s="11"/>
      <c r="P32" s="11"/>
      <c r="Q32" s="11"/>
      <c r="R32" s="11"/>
      <c r="S32" s="11"/>
      <c r="T32" s="11"/>
      <c r="U32" s="11"/>
      <c r="V32" s="11"/>
      <c r="W32" s="11"/>
      <c r="X32" s="11"/>
      <c r="Y32" s="11"/>
      <c r="Z32" s="11"/>
    </row>
    <row r="33" spans="1:26" ht="15.75" customHeight="1" x14ac:dyDescent="0.25">
      <c r="A33" s="7"/>
      <c r="B33" s="9"/>
      <c r="C33" s="12"/>
      <c r="D33" s="10"/>
      <c r="E33" s="10"/>
      <c r="F33" s="10"/>
      <c r="G33" s="10"/>
      <c r="H33" s="10"/>
      <c r="I33" s="10"/>
      <c r="J33" s="10"/>
      <c r="K33" s="10"/>
      <c r="L33" s="10"/>
      <c r="M33" s="11"/>
      <c r="N33" s="11"/>
      <c r="O33" s="11"/>
      <c r="P33" s="11"/>
      <c r="Q33" s="11"/>
      <c r="R33" s="11"/>
      <c r="S33" s="11"/>
      <c r="T33" s="11"/>
      <c r="U33" s="11"/>
      <c r="V33" s="11"/>
      <c r="W33" s="11"/>
      <c r="X33" s="11"/>
      <c r="Y33" s="11"/>
      <c r="Z33" s="11"/>
    </row>
    <row r="34" spans="1:26" ht="15.75" customHeight="1" x14ac:dyDescent="0.25">
      <c r="A34" s="7"/>
      <c r="B34" s="9"/>
      <c r="C34" s="12"/>
      <c r="D34" s="10"/>
      <c r="E34" s="10"/>
      <c r="F34" s="10"/>
      <c r="G34" s="10"/>
      <c r="H34" s="10"/>
      <c r="I34" s="10"/>
      <c r="J34" s="10"/>
      <c r="K34" s="10"/>
      <c r="L34" s="10"/>
      <c r="M34" s="11"/>
      <c r="N34" s="11"/>
      <c r="O34" s="11"/>
      <c r="P34" s="11"/>
      <c r="Q34" s="11"/>
      <c r="R34" s="11"/>
      <c r="S34" s="11"/>
      <c r="T34" s="11"/>
      <c r="U34" s="11"/>
      <c r="V34" s="11"/>
      <c r="W34" s="11"/>
      <c r="X34" s="11"/>
      <c r="Y34" s="11"/>
      <c r="Z34" s="11"/>
    </row>
    <row r="35" spans="1:26" ht="15.75" customHeight="1" x14ac:dyDescent="0.25">
      <c r="A35" s="7"/>
      <c r="B35" s="9"/>
      <c r="C35" s="12"/>
      <c r="D35" s="10"/>
      <c r="E35" s="10"/>
      <c r="F35" s="10"/>
      <c r="G35" s="10"/>
      <c r="H35" s="10"/>
      <c r="I35" s="10"/>
      <c r="J35" s="10"/>
      <c r="K35" s="10"/>
      <c r="L35" s="10"/>
      <c r="M35" s="11"/>
      <c r="N35" s="11"/>
      <c r="O35" s="11"/>
      <c r="P35" s="11"/>
      <c r="Q35" s="11"/>
      <c r="R35" s="11"/>
      <c r="S35" s="11"/>
      <c r="T35" s="11"/>
      <c r="U35" s="11"/>
      <c r="V35" s="11"/>
      <c r="W35" s="11"/>
      <c r="X35" s="11"/>
      <c r="Y35" s="11"/>
      <c r="Z35" s="11"/>
    </row>
    <row r="36" spans="1:26" ht="15.75" customHeight="1" x14ac:dyDescent="0.25">
      <c r="A36" s="7"/>
      <c r="B36" s="9"/>
      <c r="C36" s="12"/>
      <c r="D36" s="10"/>
      <c r="E36" s="10"/>
      <c r="F36" s="10"/>
      <c r="G36" s="10"/>
      <c r="H36" s="10"/>
      <c r="I36" s="10"/>
      <c r="J36" s="10"/>
      <c r="K36" s="10"/>
      <c r="L36" s="10"/>
      <c r="M36" s="11"/>
      <c r="N36" s="11"/>
      <c r="O36" s="11"/>
      <c r="P36" s="11"/>
      <c r="Q36" s="11"/>
      <c r="R36" s="11"/>
      <c r="S36" s="11"/>
      <c r="T36" s="11"/>
      <c r="U36" s="11"/>
      <c r="V36" s="11"/>
      <c r="W36" s="11"/>
      <c r="X36" s="11"/>
      <c r="Y36" s="11"/>
      <c r="Z36" s="11"/>
    </row>
    <row r="37" spans="1:26" ht="15.75" customHeight="1" x14ac:dyDescent="0.25">
      <c r="A37" s="7"/>
      <c r="B37" s="9"/>
      <c r="C37" s="12"/>
      <c r="D37" s="10"/>
      <c r="E37" s="10"/>
      <c r="F37" s="10"/>
      <c r="G37" s="10"/>
      <c r="H37" s="10"/>
      <c r="I37" s="10"/>
      <c r="J37" s="10"/>
      <c r="K37" s="10"/>
      <c r="L37" s="10"/>
      <c r="M37" s="11"/>
      <c r="N37" s="11"/>
      <c r="O37" s="11"/>
      <c r="P37" s="11"/>
      <c r="Q37" s="11"/>
      <c r="R37" s="11"/>
      <c r="S37" s="11"/>
      <c r="T37" s="11"/>
      <c r="U37" s="11"/>
      <c r="V37" s="11"/>
      <c r="W37" s="11"/>
      <c r="X37" s="11"/>
      <c r="Y37" s="11"/>
      <c r="Z37" s="11"/>
    </row>
    <row r="38" spans="1:26" ht="15.75" customHeight="1" x14ac:dyDescent="0.25">
      <c r="A38" s="7"/>
      <c r="B38" s="9"/>
      <c r="C38" s="12"/>
      <c r="D38" s="10"/>
      <c r="E38" s="10"/>
      <c r="F38" s="10"/>
      <c r="G38" s="10"/>
      <c r="H38" s="10"/>
      <c r="I38" s="10"/>
      <c r="J38" s="10"/>
      <c r="K38" s="10"/>
      <c r="L38" s="10"/>
      <c r="M38" s="11"/>
      <c r="N38" s="11"/>
      <c r="O38" s="11"/>
      <c r="P38" s="11"/>
      <c r="Q38" s="11"/>
      <c r="R38" s="11"/>
      <c r="S38" s="11"/>
      <c r="T38" s="11"/>
      <c r="U38" s="11"/>
      <c r="V38" s="11"/>
      <c r="W38" s="11"/>
      <c r="X38" s="11"/>
      <c r="Y38" s="11"/>
      <c r="Z38" s="11"/>
    </row>
    <row r="39" spans="1:26" ht="15.75" customHeight="1" x14ac:dyDescent="0.25">
      <c r="A39" s="7"/>
      <c r="B39" s="9"/>
      <c r="C39" s="12"/>
      <c r="D39" s="10"/>
      <c r="E39" s="10"/>
      <c r="F39" s="10"/>
      <c r="G39" s="10"/>
      <c r="H39" s="10"/>
      <c r="I39" s="10"/>
      <c r="J39" s="10"/>
      <c r="K39" s="10"/>
      <c r="L39" s="10"/>
      <c r="M39" s="11"/>
      <c r="N39" s="11"/>
      <c r="O39" s="11"/>
      <c r="P39" s="11"/>
      <c r="Q39" s="11"/>
      <c r="R39" s="11"/>
      <c r="S39" s="11"/>
      <c r="T39" s="11"/>
      <c r="U39" s="11"/>
      <c r="V39" s="11"/>
      <c r="W39" s="11"/>
      <c r="X39" s="11"/>
      <c r="Y39" s="11"/>
      <c r="Z39" s="11"/>
    </row>
    <row r="40" spans="1:26" ht="15.75" customHeight="1" x14ac:dyDescent="0.25">
      <c r="A40" s="7"/>
      <c r="B40" s="9"/>
      <c r="C40" s="12"/>
      <c r="D40" s="10"/>
      <c r="E40" s="10"/>
      <c r="F40" s="10"/>
      <c r="G40" s="10"/>
      <c r="H40" s="10"/>
      <c r="I40" s="10"/>
      <c r="J40" s="10"/>
      <c r="K40" s="10"/>
      <c r="L40" s="10"/>
      <c r="M40" s="11"/>
      <c r="N40" s="11"/>
      <c r="O40" s="11"/>
      <c r="P40" s="11"/>
      <c r="Q40" s="11"/>
      <c r="R40" s="11"/>
      <c r="S40" s="11"/>
      <c r="T40" s="11"/>
      <c r="U40" s="11"/>
      <c r="V40" s="11"/>
      <c r="W40" s="11"/>
      <c r="X40" s="11"/>
      <c r="Y40" s="11"/>
      <c r="Z40" s="11"/>
    </row>
    <row r="41" spans="1:26" ht="15.75" customHeight="1" x14ac:dyDescent="0.25">
      <c r="A41" s="7"/>
      <c r="B41" s="9"/>
      <c r="C41" s="12"/>
      <c r="D41" s="10"/>
      <c r="E41" s="10"/>
      <c r="F41" s="10"/>
      <c r="G41" s="10"/>
      <c r="H41" s="10"/>
      <c r="I41" s="10"/>
      <c r="J41" s="10"/>
      <c r="K41" s="10"/>
      <c r="L41" s="10"/>
      <c r="M41" s="11"/>
      <c r="N41" s="11"/>
      <c r="O41" s="11"/>
      <c r="P41" s="11"/>
      <c r="Q41" s="11"/>
      <c r="R41" s="11"/>
      <c r="S41" s="11"/>
      <c r="T41" s="11"/>
      <c r="U41" s="11"/>
      <c r="V41" s="11"/>
      <c r="W41" s="11"/>
      <c r="X41" s="11"/>
      <c r="Y41" s="11"/>
      <c r="Z41" s="11"/>
    </row>
    <row r="42" spans="1:26" ht="15.75" customHeight="1" x14ac:dyDescent="0.25">
      <c r="A42" s="7"/>
      <c r="B42" s="9"/>
      <c r="C42" s="12"/>
      <c r="D42" s="10"/>
      <c r="E42" s="10"/>
      <c r="F42" s="10"/>
      <c r="G42" s="10"/>
      <c r="H42" s="10"/>
      <c r="I42" s="10"/>
      <c r="J42" s="10"/>
      <c r="K42" s="10"/>
      <c r="L42" s="10"/>
      <c r="M42" s="11"/>
      <c r="N42" s="11"/>
      <c r="O42" s="11"/>
      <c r="P42" s="11"/>
      <c r="Q42" s="11"/>
      <c r="R42" s="11"/>
      <c r="S42" s="11"/>
      <c r="T42" s="11"/>
      <c r="U42" s="11"/>
      <c r="V42" s="11"/>
      <c r="W42" s="11"/>
      <c r="X42" s="11"/>
      <c r="Y42" s="11"/>
      <c r="Z42" s="11"/>
    </row>
    <row r="43" spans="1:26" ht="15.75" customHeight="1" x14ac:dyDescent="0.25">
      <c r="A43" s="7"/>
      <c r="B43" s="9"/>
      <c r="C43" s="12"/>
      <c r="D43" s="10"/>
      <c r="E43" s="10"/>
      <c r="F43" s="10"/>
      <c r="G43" s="10"/>
      <c r="H43" s="10"/>
      <c r="I43" s="10"/>
      <c r="J43" s="10"/>
      <c r="K43" s="10"/>
      <c r="L43" s="10"/>
      <c r="M43" s="11"/>
      <c r="N43" s="11"/>
      <c r="O43" s="11"/>
      <c r="P43" s="11"/>
      <c r="Q43" s="11"/>
      <c r="R43" s="11"/>
      <c r="S43" s="11"/>
      <c r="T43" s="11"/>
      <c r="U43" s="11"/>
      <c r="V43" s="11"/>
      <c r="W43" s="11"/>
      <c r="X43" s="11"/>
      <c r="Y43" s="11"/>
      <c r="Z43" s="11"/>
    </row>
    <row r="44" spans="1:26" ht="15.75" customHeight="1" x14ac:dyDescent="0.25">
      <c r="A44" s="7"/>
      <c r="B44" s="9"/>
      <c r="C44" s="12"/>
      <c r="D44" s="10"/>
      <c r="E44" s="10"/>
      <c r="F44" s="10"/>
      <c r="G44" s="10"/>
      <c r="H44" s="10"/>
      <c r="I44" s="10"/>
      <c r="J44" s="10"/>
      <c r="K44" s="10"/>
      <c r="L44" s="10"/>
      <c r="M44" s="11"/>
      <c r="N44" s="11"/>
      <c r="O44" s="11"/>
      <c r="P44" s="11"/>
      <c r="Q44" s="11"/>
      <c r="R44" s="11"/>
      <c r="S44" s="11"/>
      <c r="T44" s="11"/>
      <c r="U44" s="11"/>
      <c r="V44" s="11"/>
      <c r="W44" s="11"/>
      <c r="X44" s="11"/>
      <c r="Y44" s="11"/>
      <c r="Z44" s="11"/>
    </row>
    <row r="45" spans="1:26" ht="15.75" customHeight="1" x14ac:dyDescent="0.25">
      <c r="A45" s="7"/>
      <c r="B45" s="9"/>
      <c r="C45" s="12"/>
      <c r="D45" s="10"/>
      <c r="E45" s="10"/>
      <c r="F45" s="10"/>
      <c r="G45" s="10"/>
      <c r="H45" s="10"/>
      <c r="I45" s="10"/>
      <c r="J45" s="10"/>
      <c r="K45" s="10"/>
      <c r="L45" s="10"/>
      <c r="M45" s="11"/>
      <c r="N45" s="11"/>
      <c r="O45" s="11"/>
      <c r="P45" s="11"/>
      <c r="Q45" s="11"/>
      <c r="R45" s="11"/>
      <c r="S45" s="11"/>
      <c r="T45" s="11"/>
      <c r="U45" s="11"/>
      <c r="V45" s="11"/>
      <c r="W45" s="11"/>
      <c r="X45" s="11"/>
      <c r="Y45" s="11"/>
      <c r="Z45" s="11"/>
    </row>
    <row r="46" spans="1:26" ht="15.75" customHeight="1" x14ac:dyDescent="0.25">
      <c r="A46" s="7"/>
      <c r="B46" s="9"/>
      <c r="C46" s="12"/>
      <c r="D46" s="10"/>
      <c r="E46" s="10"/>
      <c r="F46" s="10"/>
      <c r="G46" s="10"/>
      <c r="H46" s="10"/>
      <c r="I46" s="10"/>
      <c r="J46" s="10"/>
      <c r="K46" s="10"/>
      <c r="L46" s="10"/>
      <c r="M46" s="11"/>
      <c r="N46" s="11"/>
      <c r="O46" s="11"/>
      <c r="P46" s="11"/>
      <c r="Q46" s="11"/>
      <c r="R46" s="11"/>
      <c r="S46" s="11"/>
      <c r="T46" s="11"/>
      <c r="U46" s="11"/>
      <c r="V46" s="11"/>
      <c r="W46" s="11"/>
      <c r="X46" s="11"/>
      <c r="Y46" s="11"/>
      <c r="Z46" s="11"/>
    </row>
    <row r="47" spans="1:26" ht="15.75" customHeight="1" x14ac:dyDescent="0.25">
      <c r="A47" s="7"/>
      <c r="B47" s="9"/>
      <c r="C47" s="12"/>
      <c r="D47" s="10"/>
      <c r="E47" s="10"/>
      <c r="F47" s="10"/>
      <c r="G47" s="10"/>
      <c r="H47" s="10"/>
      <c r="I47" s="10"/>
      <c r="J47" s="10"/>
      <c r="K47" s="10"/>
      <c r="L47" s="10"/>
      <c r="M47" s="11"/>
      <c r="N47" s="11"/>
      <c r="O47" s="11"/>
      <c r="P47" s="11"/>
      <c r="Q47" s="11"/>
      <c r="R47" s="11"/>
      <c r="S47" s="11"/>
      <c r="T47" s="11"/>
      <c r="U47" s="11"/>
      <c r="V47" s="11"/>
      <c r="W47" s="11"/>
      <c r="X47" s="11"/>
      <c r="Y47" s="11"/>
      <c r="Z47" s="11"/>
    </row>
    <row r="48" spans="1:26" ht="15.75" customHeight="1" x14ac:dyDescent="0.25">
      <c r="A48" s="7"/>
      <c r="B48" s="9"/>
      <c r="C48" s="12"/>
      <c r="D48" s="10"/>
      <c r="E48" s="10"/>
      <c r="F48" s="10"/>
      <c r="G48" s="10"/>
      <c r="H48" s="10"/>
      <c r="I48" s="10"/>
      <c r="J48" s="10"/>
      <c r="K48" s="10"/>
      <c r="L48" s="10"/>
      <c r="M48" s="11"/>
      <c r="N48" s="11"/>
      <c r="O48" s="11"/>
      <c r="P48" s="11"/>
      <c r="Q48" s="11"/>
      <c r="R48" s="11"/>
      <c r="S48" s="11"/>
      <c r="T48" s="11"/>
      <c r="U48" s="11"/>
      <c r="V48" s="11"/>
      <c r="W48" s="11"/>
      <c r="X48" s="11"/>
      <c r="Y48" s="11"/>
      <c r="Z48" s="11"/>
    </row>
    <row r="49" spans="1:26" ht="15.75" customHeight="1" x14ac:dyDescent="0.25">
      <c r="A49" s="7"/>
      <c r="B49" s="9"/>
      <c r="C49" s="12"/>
      <c r="D49" s="10"/>
      <c r="E49" s="10"/>
      <c r="F49" s="10"/>
      <c r="G49" s="10"/>
      <c r="H49" s="10"/>
      <c r="I49" s="10"/>
      <c r="J49" s="10"/>
      <c r="K49" s="10"/>
      <c r="L49" s="10"/>
      <c r="M49" s="11"/>
      <c r="N49" s="11"/>
      <c r="O49" s="11"/>
      <c r="P49" s="11"/>
      <c r="Q49" s="11"/>
      <c r="R49" s="11"/>
      <c r="S49" s="11"/>
      <c r="T49" s="11"/>
      <c r="U49" s="11"/>
      <c r="V49" s="11"/>
      <c r="W49" s="11"/>
      <c r="X49" s="11"/>
      <c r="Y49" s="11"/>
      <c r="Z49" s="11"/>
    </row>
    <row r="50" spans="1:26" ht="15.75" customHeight="1" x14ac:dyDescent="0.25">
      <c r="A50" s="7"/>
      <c r="B50" s="9"/>
      <c r="C50" s="12"/>
      <c r="D50" s="10"/>
      <c r="E50" s="10"/>
      <c r="F50" s="10"/>
      <c r="G50" s="10"/>
      <c r="H50" s="10"/>
      <c r="I50" s="10"/>
      <c r="J50" s="10"/>
      <c r="K50" s="10"/>
      <c r="L50" s="10"/>
      <c r="M50" s="11"/>
      <c r="N50" s="11"/>
      <c r="O50" s="11"/>
      <c r="P50" s="11"/>
      <c r="Q50" s="11"/>
      <c r="R50" s="11"/>
      <c r="S50" s="11"/>
      <c r="T50" s="11"/>
      <c r="U50" s="11"/>
      <c r="V50" s="11"/>
      <c r="W50" s="11"/>
      <c r="X50" s="11"/>
      <c r="Y50" s="11"/>
      <c r="Z50" s="11"/>
    </row>
    <row r="51" spans="1:26" ht="15.75" customHeight="1" x14ac:dyDescent="0.25">
      <c r="A51" s="7"/>
      <c r="B51" s="9"/>
      <c r="C51" s="12"/>
      <c r="D51" s="10"/>
      <c r="E51" s="10"/>
      <c r="F51" s="10"/>
      <c r="G51" s="10"/>
      <c r="H51" s="10"/>
      <c r="I51" s="10"/>
      <c r="J51" s="10"/>
      <c r="K51" s="10"/>
      <c r="L51" s="10"/>
      <c r="M51" s="11"/>
      <c r="N51" s="11"/>
      <c r="O51" s="11"/>
      <c r="P51" s="11"/>
      <c r="Q51" s="11"/>
      <c r="R51" s="11"/>
      <c r="S51" s="11"/>
      <c r="T51" s="11"/>
      <c r="U51" s="11"/>
      <c r="V51" s="11"/>
      <c r="W51" s="11"/>
      <c r="X51" s="11"/>
      <c r="Y51" s="11"/>
      <c r="Z51" s="11"/>
    </row>
    <row r="52" spans="1:26" ht="15.75" customHeight="1" x14ac:dyDescent="0.25">
      <c r="A52" s="7"/>
      <c r="B52" s="9"/>
      <c r="C52" s="12"/>
      <c r="D52" s="10"/>
      <c r="E52" s="10"/>
      <c r="F52" s="10"/>
      <c r="G52" s="10"/>
      <c r="H52" s="10"/>
      <c r="I52" s="10"/>
      <c r="J52" s="10"/>
      <c r="K52" s="10"/>
      <c r="L52" s="10"/>
      <c r="M52" s="11"/>
      <c r="N52" s="11"/>
      <c r="O52" s="11"/>
      <c r="P52" s="11"/>
      <c r="Q52" s="11"/>
      <c r="R52" s="11"/>
      <c r="S52" s="11"/>
      <c r="T52" s="11"/>
      <c r="U52" s="11"/>
      <c r="V52" s="11"/>
      <c r="W52" s="11"/>
      <c r="X52" s="11"/>
      <c r="Y52" s="11"/>
      <c r="Z52" s="11"/>
    </row>
    <row r="53" spans="1:26" ht="15.75" customHeight="1" x14ac:dyDescent="0.25">
      <c r="A53" s="7"/>
      <c r="B53" s="9"/>
      <c r="C53" s="12"/>
      <c r="D53" s="10"/>
      <c r="E53" s="10"/>
      <c r="F53" s="10"/>
      <c r="G53" s="10"/>
      <c r="H53" s="10"/>
      <c r="I53" s="10"/>
      <c r="J53" s="10"/>
      <c r="K53" s="10"/>
      <c r="L53" s="10"/>
      <c r="M53" s="11"/>
      <c r="N53" s="11"/>
      <c r="O53" s="11"/>
      <c r="P53" s="11"/>
      <c r="Q53" s="11"/>
      <c r="R53" s="11"/>
      <c r="S53" s="11"/>
      <c r="T53" s="11"/>
      <c r="U53" s="11"/>
      <c r="V53" s="11"/>
      <c r="W53" s="11"/>
      <c r="X53" s="11"/>
      <c r="Y53" s="11"/>
      <c r="Z53" s="11"/>
    </row>
    <row r="54" spans="1:26" ht="15.75" customHeight="1" x14ac:dyDescent="0.25">
      <c r="A54" s="7"/>
      <c r="B54" s="9"/>
      <c r="C54" s="12"/>
      <c r="D54" s="10"/>
      <c r="E54" s="10"/>
      <c r="F54" s="10"/>
      <c r="G54" s="10"/>
      <c r="H54" s="10"/>
      <c r="I54" s="10"/>
      <c r="J54" s="10"/>
      <c r="K54" s="10"/>
      <c r="L54" s="10"/>
      <c r="M54" s="11"/>
      <c r="N54" s="11"/>
      <c r="O54" s="11"/>
      <c r="P54" s="11"/>
      <c r="Q54" s="11"/>
      <c r="R54" s="11"/>
      <c r="S54" s="11"/>
      <c r="T54" s="11"/>
      <c r="U54" s="11"/>
      <c r="V54" s="11"/>
      <c r="W54" s="11"/>
      <c r="X54" s="11"/>
      <c r="Y54" s="11"/>
      <c r="Z54" s="11"/>
    </row>
    <row r="55" spans="1:26" ht="15.75" customHeight="1" x14ac:dyDescent="0.25">
      <c r="A55" s="7"/>
      <c r="B55" s="9"/>
      <c r="C55" s="12"/>
      <c r="D55" s="10"/>
      <c r="E55" s="10"/>
      <c r="F55" s="10"/>
      <c r="G55" s="10"/>
      <c r="H55" s="10"/>
      <c r="I55" s="10"/>
      <c r="J55" s="10"/>
      <c r="K55" s="10"/>
      <c r="L55" s="10"/>
      <c r="M55" s="11"/>
      <c r="N55" s="11"/>
      <c r="O55" s="11"/>
      <c r="P55" s="11"/>
      <c r="Q55" s="11"/>
      <c r="R55" s="11"/>
      <c r="S55" s="11"/>
      <c r="T55" s="11"/>
      <c r="U55" s="11"/>
      <c r="V55" s="11"/>
      <c r="W55" s="11"/>
      <c r="X55" s="11"/>
      <c r="Y55" s="11"/>
      <c r="Z55" s="11"/>
    </row>
    <row r="56" spans="1:26" ht="15.75" customHeight="1" x14ac:dyDescent="0.25">
      <c r="A56" s="7"/>
      <c r="B56" s="9"/>
      <c r="C56" s="12"/>
      <c r="D56" s="10"/>
      <c r="E56" s="10"/>
      <c r="F56" s="10"/>
      <c r="G56" s="10"/>
      <c r="H56" s="10"/>
      <c r="I56" s="10"/>
      <c r="J56" s="10"/>
      <c r="K56" s="10"/>
      <c r="L56" s="10"/>
      <c r="M56" s="11"/>
      <c r="N56" s="11"/>
      <c r="O56" s="11"/>
      <c r="P56" s="11"/>
      <c r="Q56" s="11"/>
      <c r="R56" s="11"/>
      <c r="S56" s="11"/>
      <c r="T56" s="11"/>
      <c r="U56" s="11"/>
      <c r="V56" s="11"/>
      <c r="W56" s="11"/>
      <c r="X56" s="11"/>
      <c r="Y56" s="11"/>
      <c r="Z56" s="11"/>
    </row>
    <row r="57" spans="1:26" ht="15.75" customHeight="1" x14ac:dyDescent="0.25">
      <c r="A57" s="7"/>
      <c r="B57" s="9"/>
      <c r="C57" s="12"/>
      <c r="D57" s="10"/>
      <c r="E57" s="10"/>
      <c r="F57" s="10"/>
      <c r="G57" s="10"/>
      <c r="H57" s="10"/>
      <c r="I57" s="10"/>
      <c r="J57" s="10"/>
      <c r="K57" s="10"/>
      <c r="L57" s="10"/>
      <c r="M57" s="11"/>
      <c r="N57" s="11"/>
      <c r="O57" s="11"/>
      <c r="P57" s="11"/>
      <c r="Q57" s="11"/>
      <c r="R57" s="11"/>
      <c r="S57" s="11"/>
      <c r="T57" s="11"/>
      <c r="U57" s="11"/>
      <c r="V57" s="11"/>
      <c r="W57" s="11"/>
      <c r="X57" s="11"/>
      <c r="Y57" s="11"/>
      <c r="Z57" s="11"/>
    </row>
    <row r="58" spans="1:26" ht="15.75" customHeight="1" x14ac:dyDescent="0.25">
      <c r="A58" s="7"/>
      <c r="B58" s="9"/>
      <c r="C58" s="12"/>
      <c r="D58" s="10"/>
      <c r="E58" s="10"/>
      <c r="F58" s="10"/>
      <c r="G58" s="10"/>
      <c r="H58" s="10"/>
      <c r="I58" s="10"/>
      <c r="J58" s="10"/>
      <c r="K58" s="10"/>
      <c r="L58" s="10"/>
      <c r="M58" s="11"/>
      <c r="N58" s="11"/>
      <c r="O58" s="11"/>
      <c r="P58" s="11"/>
      <c r="Q58" s="11"/>
      <c r="R58" s="11"/>
      <c r="S58" s="11"/>
      <c r="T58" s="11"/>
      <c r="U58" s="11"/>
      <c r="V58" s="11"/>
      <c r="W58" s="11"/>
      <c r="X58" s="11"/>
      <c r="Y58" s="11"/>
      <c r="Z58" s="11"/>
    </row>
    <row r="59" spans="1:26" ht="15.75" customHeight="1" x14ac:dyDescent="0.25">
      <c r="A59" s="7"/>
      <c r="B59" s="9"/>
      <c r="C59" s="12"/>
      <c r="D59" s="10"/>
      <c r="E59" s="10"/>
      <c r="F59" s="10"/>
      <c r="G59" s="10"/>
      <c r="H59" s="10"/>
      <c r="I59" s="10"/>
      <c r="J59" s="10"/>
      <c r="K59" s="10"/>
      <c r="L59" s="10"/>
      <c r="M59" s="11"/>
      <c r="N59" s="11"/>
      <c r="O59" s="11"/>
      <c r="P59" s="11"/>
      <c r="Q59" s="11"/>
      <c r="R59" s="11"/>
      <c r="S59" s="11"/>
      <c r="T59" s="11"/>
      <c r="U59" s="11"/>
      <c r="V59" s="11"/>
      <c r="W59" s="11"/>
      <c r="X59" s="11"/>
      <c r="Y59" s="11"/>
      <c r="Z59" s="11"/>
    </row>
    <row r="60" spans="1:26" ht="15.75" customHeight="1" x14ac:dyDescent="0.25">
      <c r="A60" s="7"/>
      <c r="B60" s="9"/>
      <c r="C60" s="12"/>
      <c r="D60" s="10"/>
      <c r="E60" s="10"/>
      <c r="F60" s="10"/>
      <c r="G60" s="10"/>
      <c r="H60" s="10"/>
      <c r="I60" s="10"/>
      <c r="J60" s="10"/>
      <c r="K60" s="10"/>
      <c r="L60" s="10"/>
      <c r="M60" s="11"/>
      <c r="N60" s="11"/>
      <c r="O60" s="11"/>
      <c r="P60" s="11"/>
      <c r="Q60" s="11"/>
      <c r="R60" s="11"/>
      <c r="S60" s="11"/>
      <c r="T60" s="11"/>
      <c r="U60" s="11"/>
      <c r="V60" s="11"/>
      <c r="W60" s="11"/>
      <c r="X60" s="11"/>
      <c r="Y60" s="11"/>
      <c r="Z60" s="11"/>
    </row>
    <row r="61" spans="1:26" ht="15.75" customHeight="1" x14ac:dyDescent="0.25">
      <c r="A61" s="7"/>
      <c r="B61" s="9"/>
      <c r="C61" s="12"/>
      <c r="D61" s="10"/>
      <c r="E61" s="10"/>
      <c r="F61" s="10"/>
      <c r="G61" s="10"/>
      <c r="H61" s="10"/>
      <c r="I61" s="10"/>
      <c r="J61" s="10"/>
      <c r="K61" s="10"/>
      <c r="L61" s="10"/>
      <c r="M61" s="11"/>
      <c r="N61" s="11"/>
      <c r="O61" s="11"/>
      <c r="P61" s="11"/>
      <c r="Q61" s="11"/>
      <c r="R61" s="11"/>
      <c r="S61" s="11"/>
      <c r="T61" s="11"/>
      <c r="U61" s="11"/>
      <c r="V61" s="11"/>
      <c r="W61" s="11"/>
      <c r="X61" s="11"/>
      <c r="Y61" s="11"/>
      <c r="Z61" s="11"/>
    </row>
    <row r="62" spans="1:26" ht="15.75" customHeight="1" x14ac:dyDescent="0.25">
      <c r="A62" s="7"/>
      <c r="B62" s="9"/>
      <c r="C62" s="12"/>
      <c r="D62" s="10"/>
      <c r="E62" s="10"/>
      <c r="F62" s="10"/>
      <c r="G62" s="10"/>
      <c r="H62" s="10"/>
      <c r="I62" s="10"/>
      <c r="J62" s="10"/>
      <c r="K62" s="10"/>
      <c r="L62" s="10"/>
      <c r="M62" s="11"/>
      <c r="N62" s="11"/>
      <c r="O62" s="11"/>
      <c r="P62" s="11"/>
      <c r="Q62" s="11"/>
      <c r="R62" s="11"/>
      <c r="S62" s="11"/>
      <c r="T62" s="11"/>
      <c r="U62" s="11"/>
      <c r="V62" s="11"/>
      <c r="W62" s="11"/>
      <c r="X62" s="11"/>
      <c r="Y62" s="11"/>
      <c r="Z62" s="11"/>
    </row>
    <row r="63" spans="1:26" ht="15.75" customHeight="1" x14ac:dyDescent="0.25">
      <c r="A63" s="7"/>
      <c r="B63" s="9"/>
      <c r="C63" s="12"/>
      <c r="D63" s="10"/>
      <c r="E63" s="10"/>
      <c r="F63" s="10"/>
      <c r="G63" s="10"/>
      <c r="H63" s="10"/>
      <c r="I63" s="10"/>
      <c r="J63" s="10"/>
      <c r="K63" s="10"/>
      <c r="L63" s="10"/>
      <c r="M63" s="11"/>
      <c r="N63" s="11"/>
      <c r="O63" s="11"/>
      <c r="P63" s="11"/>
      <c r="Q63" s="11"/>
      <c r="R63" s="11"/>
      <c r="S63" s="11"/>
      <c r="T63" s="11"/>
      <c r="U63" s="11"/>
      <c r="V63" s="11"/>
      <c r="W63" s="11"/>
      <c r="X63" s="11"/>
      <c r="Y63" s="11"/>
      <c r="Z63" s="11"/>
    </row>
    <row r="64" spans="1:26" ht="15.75" customHeight="1" x14ac:dyDescent="0.25">
      <c r="A64" s="7"/>
      <c r="B64" s="9"/>
      <c r="C64" s="12"/>
      <c r="D64" s="10"/>
      <c r="E64" s="10"/>
      <c r="F64" s="10"/>
      <c r="G64" s="10"/>
      <c r="H64" s="10"/>
      <c r="I64" s="10"/>
      <c r="J64" s="10"/>
      <c r="K64" s="10"/>
      <c r="L64" s="10"/>
      <c r="M64" s="11"/>
      <c r="N64" s="11"/>
      <c r="O64" s="11"/>
      <c r="P64" s="11"/>
      <c r="Q64" s="11"/>
      <c r="R64" s="11"/>
      <c r="S64" s="11"/>
      <c r="T64" s="11"/>
      <c r="U64" s="11"/>
      <c r="V64" s="11"/>
      <c r="W64" s="11"/>
      <c r="X64" s="11"/>
      <c r="Y64" s="11"/>
      <c r="Z64" s="11"/>
    </row>
    <row r="65" spans="1:26" ht="15.75" customHeight="1" x14ac:dyDescent="0.25">
      <c r="A65" s="7"/>
      <c r="B65" s="9"/>
      <c r="C65" s="12"/>
      <c r="D65" s="10"/>
      <c r="E65" s="10"/>
      <c r="F65" s="10"/>
      <c r="G65" s="10"/>
      <c r="H65" s="10"/>
      <c r="I65" s="10"/>
      <c r="J65" s="10"/>
      <c r="K65" s="10"/>
      <c r="L65" s="10"/>
      <c r="M65" s="11"/>
      <c r="N65" s="11"/>
      <c r="O65" s="11"/>
      <c r="P65" s="11"/>
      <c r="Q65" s="11"/>
      <c r="R65" s="11"/>
      <c r="S65" s="11"/>
      <c r="T65" s="11"/>
      <c r="U65" s="11"/>
      <c r="V65" s="11"/>
      <c r="W65" s="11"/>
      <c r="X65" s="11"/>
      <c r="Y65" s="11"/>
      <c r="Z65" s="11"/>
    </row>
    <row r="66" spans="1:26" ht="15.75" customHeight="1" x14ac:dyDescent="0.25">
      <c r="A66" s="7"/>
      <c r="B66" s="9"/>
      <c r="C66" s="12"/>
      <c r="D66" s="10"/>
      <c r="E66" s="10"/>
      <c r="F66" s="10"/>
      <c r="G66" s="10"/>
      <c r="H66" s="10"/>
      <c r="I66" s="10"/>
      <c r="J66" s="10"/>
      <c r="K66" s="10"/>
      <c r="L66" s="10"/>
      <c r="M66" s="11"/>
      <c r="N66" s="11"/>
      <c r="O66" s="11"/>
      <c r="P66" s="11"/>
      <c r="Q66" s="11"/>
      <c r="R66" s="11"/>
      <c r="S66" s="11"/>
      <c r="T66" s="11"/>
      <c r="U66" s="11"/>
      <c r="V66" s="11"/>
      <c r="W66" s="11"/>
      <c r="X66" s="11"/>
      <c r="Y66" s="11"/>
      <c r="Z66" s="11"/>
    </row>
    <row r="67" spans="1:26" ht="15.75" customHeight="1" x14ac:dyDescent="0.25">
      <c r="A67" s="7"/>
      <c r="B67" s="9"/>
      <c r="C67" s="12"/>
      <c r="D67" s="10"/>
      <c r="E67" s="10"/>
      <c r="F67" s="10"/>
      <c r="G67" s="10"/>
      <c r="H67" s="10"/>
      <c r="I67" s="10"/>
      <c r="J67" s="10"/>
      <c r="K67" s="10"/>
      <c r="L67" s="10"/>
      <c r="M67" s="11"/>
      <c r="N67" s="11"/>
      <c r="O67" s="11"/>
      <c r="P67" s="11"/>
      <c r="Q67" s="11"/>
      <c r="R67" s="11"/>
      <c r="S67" s="11"/>
      <c r="T67" s="11"/>
      <c r="U67" s="11"/>
      <c r="V67" s="11"/>
      <c r="W67" s="11"/>
      <c r="X67" s="11"/>
      <c r="Y67" s="11"/>
      <c r="Z67" s="11"/>
    </row>
    <row r="68" spans="1:26" ht="15.75" customHeight="1" x14ac:dyDescent="0.25">
      <c r="A68" s="7"/>
      <c r="B68" s="9"/>
      <c r="C68" s="12"/>
      <c r="D68" s="10"/>
      <c r="E68" s="10"/>
      <c r="F68" s="10"/>
      <c r="G68" s="10"/>
      <c r="H68" s="10"/>
      <c r="I68" s="10"/>
      <c r="J68" s="10"/>
      <c r="K68" s="10"/>
      <c r="L68" s="10"/>
      <c r="M68" s="11"/>
      <c r="N68" s="11"/>
      <c r="O68" s="11"/>
      <c r="P68" s="11"/>
      <c r="Q68" s="11"/>
      <c r="R68" s="11"/>
      <c r="S68" s="11"/>
      <c r="T68" s="11"/>
      <c r="U68" s="11"/>
      <c r="V68" s="11"/>
      <c r="W68" s="11"/>
      <c r="X68" s="11"/>
      <c r="Y68" s="11"/>
      <c r="Z68" s="11"/>
    </row>
    <row r="69" spans="1:26" ht="15.75" customHeight="1" x14ac:dyDescent="0.25">
      <c r="A69" s="7"/>
      <c r="B69" s="9"/>
      <c r="C69" s="12"/>
      <c r="D69" s="10"/>
      <c r="E69" s="10"/>
      <c r="F69" s="10"/>
      <c r="G69" s="10"/>
      <c r="H69" s="10"/>
      <c r="I69" s="10"/>
      <c r="J69" s="10"/>
      <c r="K69" s="10"/>
      <c r="L69" s="10"/>
      <c r="M69" s="11"/>
      <c r="N69" s="11"/>
      <c r="O69" s="11"/>
      <c r="P69" s="11"/>
      <c r="Q69" s="11"/>
      <c r="R69" s="11"/>
      <c r="S69" s="11"/>
      <c r="T69" s="11"/>
      <c r="U69" s="11"/>
      <c r="V69" s="11"/>
      <c r="W69" s="11"/>
      <c r="X69" s="11"/>
      <c r="Y69" s="11"/>
      <c r="Z69" s="11"/>
    </row>
    <row r="70" spans="1:26" ht="15.75" customHeight="1" x14ac:dyDescent="0.25">
      <c r="A70" s="7"/>
      <c r="B70" s="9"/>
      <c r="C70" s="12"/>
      <c r="D70" s="10"/>
      <c r="E70" s="10"/>
      <c r="F70" s="10"/>
      <c r="G70" s="10"/>
      <c r="H70" s="10"/>
      <c r="I70" s="10"/>
      <c r="J70" s="10"/>
      <c r="K70" s="10"/>
      <c r="L70" s="10"/>
      <c r="M70" s="11"/>
      <c r="N70" s="11"/>
      <c r="O70" s="11"/>
      <c r="P70" s="11"/>
      <c r="Q70" s="11"/>
      <c r="R70" s="11"/>
      <c r="S70" s="11"/>
      <c r="T70" s="11"/>
      <c r="U70" s="11"/>
      <c r="V70" s="11"/>
      <c r="W70" s="11"/>
      <c r="X70" s="11"/>
      <c r="Y70" s="11"/>
      <c r="Z70" s="11"/>
    </row>
    <row r="71" spans="1:26" ht="15.75" customHeight="1" x14ac:dyDescent="0.25">
      <c r="A71" s="7"/>
      <c r="B71" s="9"/>
      <c r="C71" s="12"/>
      <c r="D71" s="10"/>
      <c r="E71" s="10"/>
      <c r="F71" s="10"/>
      <c r="G71" s="10"/>
      <c r="H71" s="10"/>
      <c r="I71" s="10"/>
      <c r="J71" s="10"/>
      <c r="K71" s="10"/>
      <c r="L71" s="10"/>
      <c r="M71" s="11"/>
      <c r="N71" s="11"/>
      <c r="O71" s="11"/>
      <c r="P71" s="11"/>
      <c r="Q71" s="11"/>
      <c r="R71" s="11"/>
      <c r="S71" s="11"/>
      <c r="T71" s="11"/>
      <c r="U71" s="11"/>
      <c r="V71" s="11"/>
      <c r="W71" s="11"/>
      <c r="X71" s="11"/>
      <c r="Y71" s="11"/>
      <c r="Z71" s="11"/>
    </row>
    <row r="72" spans="1:26" ht="15.75" customHeight="1" x14ac:dyDescent="0.25">
      <c r="A72" s="7"/>
      <c r="B72" s="9"/>
      <c r="C72" s="12"/>
      <c r="D72" s="10"/>
      <c r="E72" s="10"/>
      <c r="F72" s="10"/>
      <c r="G72" s="10"/>
      <c r="H72" s="10"/>
      <c r="I72" s="10"/>
      <c r="J72" s="10"/>
      <c r="K72" s="10"/>
      <c r="L72" s="10"/>
      <c r="M72" s="11"/>
      <c r="N72" s="11"/>
      <c r="O72" s="11"/>
      <c r="P72" s="11"/>
      <c r="Q72" s="11"/>
      <c r="R72" s="11"/>
      <c r="S72" s="11"/>
      <c r="T72" s="11"/>
      <c r="U72" s="11"/>
      <c r="V72" s="11"/>
      <c r="W72" s="11"/>
      <c r="X72" s="11"/>
      <c r="Y72" s="11"/>
      <c r="Z72" s="11"/>
    </row>
    <row r="73" spans="1:26" ht="15.75" customHeight="1" x14ac:dyDescent="0.25">
      <c r="A73" s="7"/>
      <c r="B73" s="9"/>
      <c r="C73" s="12"/>
      <c r="D73" s="10"/>
      <c r="E73" s="10"/>
      <c r="F73" s="10"/>
      <c r="G73" s="10"/>
      <c r="H73" s="10"/>
      <c r="I73" s="10"/>
      <c r="J73" s="10"/>
      <c r="K73" s="10"/>
      <c r="L73" s="10"/>
      <c r="M73" s="11"/>
      <c r="N73" s="11"/>
      <c r="O73" s="11"/>
      <c r="P73" s="11"/>
      <c r="Q73" s="11"/>
      <c r="R73" s="11"/>
      <c r="S73" s="11"/>
      <c r="T73" s="11"/>
      <c r="U73" s="11"/>
      <c r="V73" s="11"/>
      <c r="W73" s="11"/>
      <c r="X73" s="11"/>
      <c r="Y73" s="11"/>
      <c r="Z73" s="11"/>
    </row>
    <row r="74" spans="1:26" ht="15.75" customHeight="1" x14ac:dyDescent="0.25">
      <c r="A74" s="7"/>
      <c r="B74" s="9"/>
      <c r="C74" s="12"/>
      <c r="D74" s="10"/>
      <c r="E74" s="10"/>
      <c r="F74" s="10"/>
      <c r="G74" s="10"/>
      <c r="H74" s="10"/>
      <c r="I74" s="10"/>
      <c r="J74" s="10"/>
      <c r="K74" s="10"/>
      <c r="L74" s="10"/>
      <c r="M74" s="11"/>
      <c r="N74" s="11"/>
      <c r="O74" s="11"/>
      <c r="P74" s="11"/>
      <c r="Q74" s="11"/>
      <c r="R74" s="11"/>
      <c r="S74" s="11"/>
      <c r="T74" s="11"/>
      <c r="U74" s="11"/>
      <c r="V74" s="11"/>
      <c r="W74" s="11"/>
      <c r="X74" s="11"/>
      <c r="Y74" s="11"/>
      <c r="Z74" s="11"/>
    </row>
    <row r="75" spans="1:26" ht="15.75" customHeight="1" x14ac:dyDescent="0.25">
      <c r="A75" s="7"/>
      <c r="B75" s="9"/>
      <c r="C75" s="12"/>
      <c r="D75" s="10"/>
      <c r="E75" s="10"/>
      <c r="F75" s="10"/>
      <c r="G75" s="10"/>
      <c r="H75" s="10"/>
      <c r="I75" s="10"/>
      <c r="J75" s="10"/>
      <c r="K75" s="10"/>
      <c r="L75" s="10"/>
      <c r="M75" s="11"/>
      <c r="N75" s="11"/>
      <c r="O75" s="11"/>
      <c r="P75" s="11"/>
      <c r="Q75" s="11"/>
      <c r="R75" s="11"/>
      <c r="S75" s="11"/>
      <c r="T75" s="11"/>
      <c r="U75" s="11"/>
      <c r="V75" s="11"/>
      <c r="W75" s="11"/>
      <c r="X75" s="11"/>
      <c r="Y75" s="11"/>
      <c r="Z75" s="11"/>
    </row>
    <row r="76" spans="1:26" ht="15.75" customHeight="1" x14ac:dyDescent="0.25">
      <c r="A76" s="7"/>
      <c r="B76" s="9"/>
      <c r="C76" s="12"/>
      <c r="D76" s="10"/>
      <c r="E76" s="10"/>
      <c r="F76" s="10"/>
      <c r="G76" s="10"/>
      <c r="H76" s="10"/>
      <c r="I76" s="10"/>
      <c r="J76" s="10"/>
      <c r="K76" s="10"/>
      <c r="L76" s="10"/>
      <c r="M76" s="11"/>
      <c r="N76" s="11"/>
      <c r="O76" s="11"/>
      <c r="P76" s="11"/>
      <c r="Q76" s="11"/>
      <c r="R76" s="11"/>
      <c r="S76" s="11"/>
      <c r="T76" s="11"/>
      <c r="U76" s="11"/>
      <c r="V76" s="11"/>
      <c r="W76" s="11"/>
      <c r="X76" s="11"/>
      <c r="Y76" s="11"/>
      <c r="Z76" s="11"/>
    </row>
    <row r="77" spans="1:26" ht="15.75" customHeight="1" x14ac:dyDescent="0.25">
      <c r="A77" s="7"/>
      <c r="B77" s="9"/>
      <c r="C77" s="12"/>
      <c r="D77" s="10"/>
      <c r="E77" s="10"/>
      <c r="F77" s="10"/>
      <c r="G77" s="10"/>
      <c r="H77" s="10"/>
      <c r="I77" s="10"/>
      <c r="J77" s="10"/>
      <c r="K77" s="10"/>
      <c r="L77" s="10"/>
      <c r="M77" s="11"/>
      <c r="N77" s="11"/>
      <c r="O77" s="11"/>
      <c r="P77" s="11"/>
      <c r="Q77" s="11"/>
      <c r="R77" s="11"/>
      <c r="S77" s="11"/>
      <c r="T77" s="11"/>
      <c r="U77" s="11"/>
      <c r="V77" s="11"/>
      <c r="W77" s="11"/>
      <c r="X77" s="11"/>
      <c r="Y77" s="11"/>
      <c r="Z77" s="11"/>
    </row>
    <row r="78" spans="1:26" ht="15.75" customHeight="1" x14ac:dyDescent="0.25">
      <c r="A78" s="7"/>
      <c r="B78" s="9"/>
      <c r="C78" s="12"/>
      <c r="D78" s="10"/>
      <c r="E78" s="10"/>
      <c r="F78" s="10"/>
      <c r="G78" s="10"/>
      <c r="H78" s="10"/>
      <c r="I78" s="10"/>
      <c r="J78" s="10"/>
      <c r="K78" s="10"/>
      <c r="L78" s="10"/>
      <c r="M78" s="11"/>
      <c r="N78" s="11"/>
      <c r="O78" s="11"/>
      <c r="P78" s="11"/>
      <c r="Q78" s="11"/>
      <c r="R78" s="11"/>
      <c r="S78" s="11"/>
      <c r="T78" s="11"/>
      <c r="U78" s="11"/>
      <c r="V78" s="11"/>
      <c r="W78" s="11"/>
      <c r="X78" s="11"/>
      <c r="Y78" s="11"/>
      <c r="Z78" s="11"/>
    </row>
    <row r="79" spans="1:26" ht="15.75" customHeight="1" x14ac:dyDescent="0.25">
      <c r="A79" s="7"/>
      <c r="B79" s="9"/>
      <c r="C79" s="12"/>
      <c r="D79" s="10"/>
      <c r="E79" s="10"/>
      <c r="F79" s="10"/>
      <c r="G79" s="10"/>
      <c r="H79" s="10"/>
      <c r="I79" s="10"/>
      <c r="J79" s="10"/>
      <c r="K79" s="10"/>
      <c r="L79" s="10"/>
      <c r="M79" s="11"/>
      <c r="N79" s="11"/>
      <c r="O79" s="11"/>
      <c r="P79" s="11"/>
      <c r="Q79" s="11"/>
      <c r="R79" s="11"/>
      <c r="S79" s="11"/>
      <c r="T79" s="11"/>
      <c r="U79" s="11"/>
      <c r="V79" s="11"/>
      <c r="W79" s="11"/>
      <c r="X79" s="11"/>
      <c r="Y79" s="11"/>
      <c r="Z79" s="11"/>
    </row>
    <row r="80" spans="1:26" ht="15.75" customHeight="1" x14ac:dyDescent="0.25">
      <c r="A80" s="7"/>
      <c r="B80" s="9"/>
      <c r="C80" s="12"/>
      <c r="D80" s="10"/>
      <c r="E80" s="10"/>
      <c r="F80" s="10"/>
      <c r="G80" s="10"/>
      <c r="H80" s="10"/>
      <c r="I80" s="10"/>
      <c r="J80" s="10"/>
      <c r="K80" s="10"/>
      <c r="L80" s="10"/>
      <c r="M80" s="11"/>
      <c r="N80" s="11"/>
      <c r="O80" s="11"/>
      <c r="P80" s="11"/>
      <c r="Q80" s="11"/>
      <c r="R80" s="11"/>
      <c r="S80" s="11"/>
      <c r="T80" s="11"/>
      <c r="U80" s="11"/>
      <c r="V80" s="11"/>
      <c r="W80" s="11"/>
      <c r="X80" s="11"/>
      <c r="Y80" s="11"/>
      <c r="Z80" s="11"/>
    </row>
    <row r="81" spans="1:26" ht="15.75" customHeight="1" x14ac:dyDescent="0.25">
      <c r="A81" s="7"/>
      <c r="B81" s="9"/>
      <c r="C81" s="12"/>
      <c r="D81" s="10"/>
      <c r="E81" s="10"/>
      <c r="F81" s="10"/>
      <c r="G81" s="10"/>
      <c r="H81" s="10"/>
      <c r="I81" s="10"/>
      <c r="J81" s="10"/>
      <c r="K81" s="10"/>
      <c r="L81" s="10"/>
      <c r="M81" s="11"/>
      <c r="N81" s="11"/>
      <c r="O81" s="11"/>
      <c r="P81" s="11"/>
      <c r="Q81" s="11"/>
      <c r="R81" s="11"/>
      <c r="S81" s="11"/>
      <c r="T81" s="11"/>
      <c r="U81" s="11"/>
      <c r="V81" s="11"/>
      <c r="W81" s="11"/>
      <c r="X81" s="11"/>
      <c r="Y81" s="11"/>
      <c r="Z81" s="11"/>
    </row>
    <row r="82" spans="1:26" ht="15.75" customHeight="1" x14ac:dyDescent="0.25">
      <c r="A82" s="7"/>
      <c r="B82" s="9"/>
      <c r="C82" s="12"/>
      <c r="D82" s="10"/>
      <c r="E82" s="10"/>
      <c r="F82" s="10"/>
      <c r="G82" s="10"/>
      <c r="H82" s="10"/>
      <c r="I82" s="10"/>
      <c r="J82" s="10"/>
      <c r="K82" s="10"/>
      <c r="L82" s="10"/>
      <c r="M82" s="11"/>
      <c r="N82" s="11"/>
      <c r="O82" s="11"/>
      <c r="P82" s="11"/>
      <c r="Q82" s="11"/>
      <c r="R82" s="11"/>
      <c r="S82" s="11"/>
      <c r="T82" s="11"/>
      <c r="U82" s="11"/>
      <c r="V82" s="11"/>
      <c r="W82" s="11"/>
      <c r="X82" s="11"/>
      <c r="Y82" s="11"/>
      <c r="Z82" s="11"/>
    </row>
    <row r="83" spans="1:26" ht="15.75" customHeight="1" x14ac:dyDescent="0.25">
      <c r="A83" s="7"/>
      <c r="B83" s="9"/>
      <c r="C83" s="12"/>
      <c r="D83" s="10"/>
      <c r="E83" s="10"/>
      <c r="F83" s="10"/>
      <c r="G83" s="10"/>
      <c r="H83" s="10"/>
      <c r="I83" s="10"/>
      <c r="J83" s="10"/>
      <c r="K83" s="10"/>
      <c r="L83" s="10"/>
      <c r="M83" s="11"/>
      <c r="N83" s="11"/>
      <c r="O83" s="11"/>
      <c r="P83" s="11"/>
      <c r="Q83" s="11"/>
      <c r="R83" s="11"/>
      <c r="S83" s="11"/>
      <c r="T83" s="11"/>
      <c r="U83" s="11"/>
      <c r="V83" s="11"/>
      <c r="W83" s="11"/>
      <c r="X83" s="11"/>
      <c r="Y83" s="11"/>
      <c r="Z83" s="11"/>
    </row>
    <row r="84" spans="1:26" ht="15.75" customHeight="1" x14ac:dyDescent="0.25">
      <c r="A84" s="7"/>
      <c r="B84" s="9"/>
      <c r="C84" s="12"/>
      <c r="D84" s="10"/>
      <c r="E84" s="10"/>
      <c r="F84" s="10"/>
      <c r="G84" s="10"/>
      <c r="H84" s="10"/>
      <c r="I84" s="10"/>
      <c r="J84" s="10"/>
      <c r="K84" s="10"/>
      <c r="L84" s="10"/>
      <c r="M84" s="11"/>
      <c r="N84" s="11"/>
      <c r="O84" s="11"/>
      <c r="P84" s="11"/>
      <c r="Q84" s="11"/>
      <c r="R84" s="11"/>
      <c r="S84" s="11"/>
      <c r="T84" s="11"/>
      <c r="U84" s="11"/>
      <c r="V84" s="11"/>
      <c r="W84" s="11"/>
      <c r="X84" s="11"/>
      <c r="Y84" s="11"/>
      <c r="Z84" s="11"/>
    </row>
    <row r="85" spans="1:26" ht="15.75" customHeight="1" x14ac:dyDescent="0.25">
      <c r="A85" s="7"/>
      <c r="B85" s="9"/>
      <c r="C85" s="12"/>
      <c r="D85" s="10"/>
      <c r="E85" s="10"/>
      <c r="F85" s="10"/>
      <c r="G85" s="10"/>
      <c r="H85" s="10"/>
      <c r="I85" s="10"/>
      <c r="J85" s="10"/>
      <c r="K85" s="10"/>
      <c r="L85" s="10"/>
      <c r="M85" s="11"/>
      <c r="N85" s="11"/>
      <c r="O85" s="11"/>
      <c r="P85" s="11"/>
      <c r="Q85" s="11"/>
      <c r="R85" s="11"/>
      <c r="S85" s="11"/>
      <c r="T85" s="11"/>
      <c r="U85" s="11"/>
      <c r="V85" s="11"/>
      <c r="W85" s="11"/>
      <c r="X85" s="11"/>
      <c r="Y85" s="11"/>
      <c r="Z85" s="11"/>
    </row>
    <row r="86" spans="1:26" ht="15.75" customHeight="1" x14ac:dyDescent="0.25">
      <c r="A86" s="7"/>
      <c r="B86" s="9"/>
      <c r="C86" s="12"/>
      <c r="D86" s="10"/>
      <c r="E86" s="10"/>
      <c r="F86" s="10"/>
      <c r="G86" s="10"/>
      <c r="H86" s="10"/>
      <c r="I86" s="10"/>
      <c r="J86" s="10"/>
      <c r="K86" s="10"/>
      <c r="L86" s="10"/>
      <c r="M86" s="11"/>
      <c r="N86" s="11"/>
      <c r="O86" s="11"/>
      <c r="P86" s="11"/>
      <c r="Q86" s="11"/>
      <c r="R86" s="11"/>
      <c r="S86" s="11"/>
      <c r="T86" s="11"/>
      <c r="U86" s="11"/>
      <c r="V86" s="11"/>
      <c r="W86" s="11"/>
      <c r="X86" s="11"/>
      <c r="Y86" s="11"/>
      <c r="Z86" s="11"/>
    </row>
    <row r="87" spans="1:26" ht="15.75" customHeight="1" x14ac:dyDescent="0.25">
      <c r="A87" s="7"/>
      <c r="B87" s="9"/>
      <c r="C87" s="12"/>
      <c r="D87" s="10"/>
      <c r="E87" s="10"/>
      <c r="F87" s="10"/>
      <c r="G87" s="10"/>
      <c r="H87" s="10"/>
      <c r="I87" s="10"/>
      <c r="J87" s="10"/>
      <c r="K87" s="10"/>
      <c r="L87" s="10"/>
      <c r="M87" s="11"/>
      <c r="N87" s="11"/>
      <c r="O87" s="11"/>
      <c r="P87" s="11"/>
      <c r="Q87" s="11"/>
      <c r="R87" s="11"/>
      <c r="S87" s="11"/>
      <c r="T87" s="11"/>
      <c r="U87" s="11"/>
      <c r="V87" s="11"/>
      <c r="W87" s="11"/>
      <c r="X87" s="11"/>
      <c r="Y87" s="11"/>
      <c r="Z87" s="11"/>
    </row>
    <row r="88" spans="1:26" ht="15.75" customHeight="1" x14ac:dyDescent="0.25">
      <c r="A88" s="7"/>
      <c r="B88" s="9"/>
      <c r="C88" s="12"/>
      <c r="D88" s="10"/>
      <c r="E88" s="10"/>
      <c r="F88" s="10"/>
      <c r="G88" s="10"/>
      <c r="H88" s="10"/>
      <c r="I88" s="10"/>
      <c r="J88" s="10"/>
      <c r="K88" s="10"/>
      <c r="L88" s="10"/>
      <c r="M88" s="11"/>
      <c r="N88" s="11"/>
      <c r="O88" s="11"/>
      <c r="P88" s="11"/>
      <c r="Q88" s="11"/>
      <c r="R88" s="11"/>
      <c r="S88" s="11"/>
      <c r="T88" s="11"/>
      <c r="U88" s="11"/>
      <c r="V88" s="11"/>
      <c r="W88" s="11"/>
      <c r="X88" s="11"/>
      <c r="Y88" s="11"/>
      <c r="Z88" s="11"/>
    </row>
    <row r="89" spans="1:26" ht="15.75" customHeight="1" x14ac:dyDescent="0.25">
      <c r="A89" s="7"/>
      <c r="B89" s="9"/>
      <c r="C89" s="12"/>
      <c r="D89" s="10"/>
      <c r="E89" s="10"/>
      <c r="F89" s="10"/>
      <c r="G89" s="10"/>
      <c r="H89" s="10"/>
      <c r="I89" s="10"/>
      <c r="J89" s="10"/>
      <c r="K89" s="10"/>
      <c r="L89" s="10"/>
      <c r="M89" s="11"/>
      <c r="N89" s="11"/>
      <c r="O89" s="11"/>
      <c r="P89" s="11"/>
      <c r="Q89" s="11"/>
      <c r="R89" s="11"/>
      <c r="S89" s="11"/>
      <c r="T89" s="11"/>
      <c r="U89" s="11"/>
      <c r="V89" s="11"/>
      <c r="W89" s="11"/>
      <c r="X89" s="11"/>
      <c r="Y89" s="11"/>
      <c r="Z89" s="11"/>
    </row>
    <row r="90" spans="1:26" ht="15.75" customHeight="1" x14ac:dyDescent="0.25">
      <c r="A90" s="16"/>
      <c r="B90" s="9"/>
      <c r="C90" s="9"/>
      <c r="D90" s="13"/>
      <c r="E90" s="13"/>
      <c r="F90" s="13"/>
      <c r="G90" s="10"/>
      <c r="H90" s="10"/>
      <c r="I90" s="10"/>
      <c r="J90" s="13"/>
      <c r="K90" s="13"/>
      <c r="L90" s="13"/>
      <c r="M90" s="1"/>
      <c r="N90" s="1"/>
      <c r="O90" s="1"/>
      <c r="P90" s="1"/>
      <c r="Q90" s="1"/>
      <c r="R90" s="1"/>
      <c r="S90" s="1"/>
      <c r="T90" s="1"/>
      <c r="U90" s="1"/>
      <c r="V90" s="1"/>
      <c r="W90" s="1"/>
      <c r="X90" s="1"/>
      <c r="Y90" s="1"/>
      <c r="Z90" s="1"/>
    </row>
    <row r="91" spans="1:26" ht="15.75" customHeight="1" x14ac:dyDescent="0.25">
      <c r="A91" s="16"/>
      <c r="B91" s="9"/>
      <c r="C91" s="9"/>
      <c r="D91" s="13"/>
      <c r="E91" s="13"/>
      <c r="F91" s="13"/>
      <c r="G91" s="10"/>
      <c r="H91" s="10"/>
      <c r="I91" s="10"/>
      <c r="J91" s="13"/>
      <c r="K91" s="13"/>
      <c r="L91" s="13"/>
      <c r="M91" s="1"/>
      <c r="N91" s="1"/>
      <c r="O91" s="1"/>
      <c r="P91" s="1"/>
      <c r="Q91" s="1"/>
      <c r="R91" s="1"/>
      <c r="S91" s="1"/>
      <c r="T91" s="1"/>
      <c r="U91" s="1"/>
      <c r="V91" s="1"/>
      <c r="W91" s="1"/>
      <c r="X91" s="1"/>
      <c r="Y91" s="1"/>
      <c r="Z91" s="1"/>
    </row>
    <row r="92" spans="1:26" ht="15.75" customHeight="1" x14ac:dyDescent="0.25">
      <c r="A92" s="16"/>
      <c r="B92" s="9"/>
      <c r="C92" s="9"/>
      <c r="D92" s="13"/>
      <c r="E92" s="13"/>
      <c r="F92" s="13"/>
      <c r="G92" s="10"/>
      <c r="H92" s="10"/>
      <c r="I92" s="10"/>
      <c r="J92" s="13"/>
      <c r="K92" s="13"/>
      <c r="L92" s="13"/>
      <c r="M92" s="1"/>
      <c r="N92" s="1"/>
      <c r="O92" s="1"/>
      <c r="P92" s="1"/>
      <c r="Q92" s="1"/>
      <c r="R92" s="1"/>
      <c r="S92" s="1"/>
      <c r="T92" s="1"/>
      <c r="U92" s="1"/>
      <c r="V92" s="1"/>
      <c r="W92" s="1"/>
      <c r="X92" s="1"/>
      <c r="Y92" s="1"/>
      <c r="Z92" s="1"/>
    </row>
    <row r="93" spans="1:26" ht="15.75" customHeight="1" x14ac:dyDescent="0.25">
      <c r="A93" s="16"/>
      <c r="B93" s="9"/>
      <c r="C93" s="9"/>
      <c r="D93" s="13"/>
      <c r="E93" s="13"/>
      <c r="F93" s="13"/>
      <c r="G93" s="10"/>
      <c r="H93" s="10"/>
      <c r="I93" s="10"/>
      <c r="J93" s="13"/>
      <c r="K93" s="13"/>
      <c r="L93" s="13"/>
      <c r="M93" s="1"/>
      <c r="N93" s="1"/>
      <c r="O93" s="1"/>
      <c r="P93" s="1"/>
      <c r="Q93" s="1"/>
      <c r="R93" s="1"/>
      <c r="S93" s="1"/>
      <c r="T93" s="1"/>
      <c r="U93" s="1"/>
      <c r="V93" s="1"/>
      <c r="W93" s="1"/>
      <c r="X93" s="1"/>
      <c r="Y93" s="1"/>
      <c r="Z93" s="1"/>
    </row>
    <row r="94" spans="1:26" ht="15.75" customHeight="1" x14ac:dyDescent="0.25">
      <c r="A94" s="13"/>
      <c r="B94" s="9"/>
      <c r="C94" s="9"/>
      <c r="D94" s="13"/>
      <c r="E94" s="13"/>
      <c r="F94" s="13"/>
      <c r="G94" s="10"/>
      <c r="H94" s="10"/>
      <c r="I94" s="10"/>
      <c r="J94" s="13"/>
      <c r="K94" s="13"/>
      <c r="L94" s="13"/>
      <c r="M94" s="1"/>
      <c r="N94" s="1"/>
      <c r="O94" s="1"/>
      <c r="P94" s="1"/>
      <c r="Q94" s="1"/>
      <c r="R94" s="1"/>
      <c r="S94" s="1"/>
      <c r="T94" s="1"/>
      <c r="U94" s="1"/>
      <c r="V94" s="1"/>
      <c r="W94" s="1"/>
      <c r="X94" s="1"/>
      <c r="Y94" s="1"/>
      <c r="Z94" s="1"/>
    </row>
    <row r="95" spans="1:26" ht="15.75" customHeight="1" x14ac:dyDescent="0.25">
      <c r="A95" s="13"/>
      <c r="B95" s="9"/>
      <c r="C95" s="9"/>
      <c r="D95" s="13"/>
      <c r="E95" s="13"/>
      <c r="F95" s="13"/>
      <c r="G95" s="10"/>
      <c r="H95" s="10"/>
      <c r="I95" s="10"/>
      <c r="J95" s="13"/>
      <c r="K95" s="13"/>
      <c r="L95" s="13"/>
      <c r="M95" s="1"/>
      <c r="N95" s="1"/>
      <c r="O95" s="1"/>
      <c r="P95" s="1"/>
      <c r="Q95" s="1"/>
      <c r="R95" s="1"/>
      <c r="S95" s="1"/>
      <c r="T95" s="1"/>
      <c r="U95" s="1"/>
      <c r="V95" s="1"/>
      <c r="W95" s="1"/>
      <c r="X95" s="1"/>
      <c r="Y95" s="1"/>
      <c r="Z95" s="1"/>
    </row>
    <row r="96" spans="1:26" ht="15.75" customHeight="1" x14ac:dyDescent="0.25">
      <c r="A96" s="13"/>
      <c r="B96" s="9"/>
      <c r="C96" s="9"/>
      <c r="D96" s="13"/>
      <c r="E96" s="13"/>
      <c r="F96" s="13"/>
      <c r="G96" s="10"/>
      <c r="H96" s="10"/>
      <c r="I96" s="10"/>
      <c r="J96" s="13"/>
      <c r="K96" s="13"/>
      <c r="L96" s="13"/>
      <c r="M96" s="1"/>
      <c r="N96" s="1"/>
      <c r="O96" s="1"/>
      <c r="P96" s="1"/>
      <c r="Q96" s="1"/>
      <c r="R96" s="1"/>
      <c r="S96" s="1"/>
      <c r="T96" s="1"/>
      <c r="U96" s="1"/>
      <c r="V96" s="1"/>
      <c r="W96" s="1"/>
      <c r="X96" s="1"/>
      <c r="Y96" s="1"/>
      <c r="Z96" s="1"/>
    </row>
    <row r="97" spans="1:26" ht="15.75" customHeight="1" x14ac:dyDescent="0.25">
      <c r="A97" s="13"/>
      <c r="B97" s="9"/>
      <c r="C97" s="9"/>
      <c r="D97" s="13"/>
      <c r="E97" s="13"/>
      <c r="F97" s="13"/>
      <c r="G97" s="10"/>
      <c r="H97" s="10"/>
      <c r="I97" s="10"/>
      <c r="J97" s="13"/>
      <c r="K97" s="13"/>
      <c r="L97" s="13"/>
      <c r="M97" s="1"/>
      <c r="N97" s="1"/>
      <c r="O97" s="1"/>
      <c r="P97" s="1"/>
      <c r="Q97" s="1"/>
      <c r="R97" s="1"/>
      <c r="S97" s="1"/>
      <c r="T97" s="1"/>
      <c r="U97" s="1"/>
      <c r="V97" s="1"/>
      <c r="W97" s="1"/>
      <c r="X97" s="1"/>
      <c r="Y97" s="1"/>
      <c r="Z97" s="1"/>
    </row>
    <row r="98" spans="1:26" ht="15.75" customHeight="1" x14ac:dyDescent="0.25">
      <c r="A98" s="13"/>
      <c r="B98" s="9"/>
      <c r="C98" s="9"/>
      <c r="D98" s="13"/>
      <c r="E98" s="13"/>
      <c r="F98" s="13"/>
      <c r="G98" s="10"/>
      <c r="H98" s="10"/>
      <c r="I98" s="10"/>
      <c r="J98" s="13"/>
      <c r="K98" s="13"/>
      <c r="L98" s="13"/>
      <c r="M98" s="1"/>
      <c r="N98" s="1"/>
      <c r="O98" s="1"/>
      <c r="P98" s="1"/>
      <c r="Q98" s="1"/>
      <c r="R98" s="1"/>
      <c r="S98" s="1"/>
      <c r="T98" s="1"/>
      <c r="U98" s="1"/>
      <c r="V98" s="1"/>
      <c r="W98" s="1"/>
      <c r="X98" s="1"/>
      <c r="Y98" s="1"/>
      <c r="Z98" s="1"/>
    </row>
    <row r="99" spans="1:26" ht="15.75" customHeight="1" x14ac:dyDescent="0.25">
      <c r="A99" s="13"/>
      <c r="B99" s="9"/>
      <c r="C99" s="9"/>
      <c r="D99" s="13"/>
      <c r="E99" s="13"/>
      <c r="F99" s="13"/>
      <c r="G99" s="10"/>
      <c r="H99" s="10"/>
      <c r="I99" s="10"/>
      <c r="J99" s="13"/>
      <c r="K99" s="13"/>
      <c r="L99" s="13"/>
      <c r="M99" s="1"/>
      <c r="N99" s="1"/>
      <c r="O99" s="1"/>
      <c r="P99" s="1"/>
      <c r="Q99" s="1"/>
      <c r="R99" s="1"/>
      <c r="S99" s="1"/>
      <c r="T99" s="1"/>
      <c r="U99" s="1"/>
      <c r="V99" s="1"/>
      <c r="W99" s="1"/>
      <c r="X99" s="1"/>
      <c r="Y99" s="1"/>
      <c r="Z99" s="1"/>
    </row>
    <row r="100" spans="1:26" ht="15.75" customHeight="1" x14ac:dyDescent="0.25">
      <c r="A100" s="13"/>
      <c r="B100" s="9"/>
      <c r="C100" s="9"/>
      <c r="D100" s="13"/>
      <c r="E100" s="13"/>
      <c r="F100" s="13"/>
      <c r="G100" s="10"/>
      <c r="H100" s="10"/>
      <c r="I100" s="10"/>
      <c r="J100" s="13"/>
      <c r="K100" s="13"/>
      <c r="L100" s="13"/>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row r="110" spans="1:26" ht="15.75" customHeight="1" x14ac:dyDescent="0.25"/>
    <row r="111" spans="1:26" ht="15.75" customHeight="1" x14ac:dyDescent="0.25"/>
    <row r="112" spans="1:26"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L1"/>
  </mergeCell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ErrorMessage="1" xr:uid="{00000000-0002-0000-0100-000000000000}">
          <x14:formula1>
            <xm:f>Datos!$E$2:$E$5</xm:f>
          </x14:formula1>
          <xm:sqref>I3:I100</xm:sqref>
        </x14:dataValidation>
        <x14:dataValidation type="list" allowBlank="1" showErrorMessage="1" xr:uid="{00000000-0002-0000-0100-000001000000}">
          <x14:formula1>
            <xm:f>Datos!$B$2:$B$7</xm:f>
          </x14:formula1>
          <xm:sqref>B3:B100</xm:sqref>
        </x14:dataValidation>
        <x14:dataValidation type="list" allowBlank="1" showErrorMessage="1" xr:uid="{00000000-0002-0000-0100-000002000000}">
          <x14:formula1>
            <xm:f>Datos!$C$2:$C$4</xm:f>
          </x14:formula1>
          <xm:sqref>G3:G100</xm:sqref>
        </x14:dataValidation>
        <x14:dataValidation type="list" allowBlank="1" showErrorMessage="1" xr:uid="{00000000-0002-0000-0100-000003000000}">
          <x14:formula1>
            <xm:f>Datos!$D$2:$D$5</xm:f>
          </x14:formula1>
          <xm:sqref>H3:H100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000"/>
  <sheetViews>
    <sheetView workbookViewId="0">
      <selection activeCell="B18" sqref="B18"/>
    </sheetView>
  </sheetViews>
  <sheetFormatPr baseColWidth="10" defaultColWidth="14.42578125" defaultRowHeight="15" x14ac:dyDescent="0.25"/>
  <cols>
    <col min="1" max="1" width="34.85546875" customWidth="1"/>
    <col min="2" max="2" width="10.5703125" customWidth="1"/>
    <col min="3" max="3" width="11.28515625" customWidth="1"/>
    <col min="4" max="4" width="12" customWidth="1"/>
    <col min="5" max="26" width="11.42578125" customWidth="1"/>
  </cols>
  <sheetData>
    <row r="1" spans="1:4" ht="33" customHeight="1" x14ac:dyDescent="0.25">
      <c r="A1" s="62" t="s">
        <v>78</v>
      </c>
      <c r="B1" s="63"/>
      <c r="C1" s="63"/>
      <c r="D1" s="64"/>
    </row>
    <row r="2" spans="1:4" ht="30" customHeight="1" x14ac:dyDescent="0.25">
      <c r="A2" s="17" t="s">
        <v>79</v>
      </c>
      <c r="B2" s="31" t="s">
        <v>80</v>
      </c>
      <c r="C2" s="31" t="s">
        <v>81</v>
      </c>
      <c r="D2" s="31" t="s">
        <v>82</v>
      </c>
    </row>
    <row r="3" spans="1:4" ht="22.5" customHeight="1" x14ac:dyDescent="0.25">
      <c r="A3" s="32" t="s">
        <v>83</v>
      </c>
      <c r="B3" s="33">
        <v>10</v>
      </c>
      <c r="C3" s="33">
        <v>10</v>
      </c>
      <c r="D3" s="33">
        <v>10</v>
      </c>
    </row>
    <row r="4" spans="1:4" ht="25.5" customHeight="1" x14ac:dyDescent="0.25">
      <c r="A4" s="32" t="s">
        <v>84</v>
      </c>
      <c r="B4" s="33">
        <f>COUNTIF('Casos de Prueba'!$G$4:$G$13,"PASÓ")</f>
        <v>7</v>
      </c>
      <c r="C4" s="33">
        <f>COUNTIF('Casos de Prueba'!$K$4:$K$13,"PASÓ")</f>
        <v>10</v>
      </c>
      <c r="D4" s="33">
        <f>COUNTIF('Casos de Prueba'!$O$4:$O$13,"PASÓ")</f>
        <v>10</v>
      </c>
    </row>
    <row r="5" spans="1:4" ht="24" customHeight="1" x14ac:dyDescent="0.25">
      <c r="A5" s="32" t="s">
        <v>85</v>
      </c>
      <c r="B5" s="33">
        <f>COUNTIF('Casos de Prueba'!$G$4:$G$13,"FALLÓ")</f>
        <v>3</v>
      </c>
      <c r="C5" s="33">
        <f>COUNTIF('Casos de Prueba'!$K$4:$K$13,"FALLÓ")</f>
        <v>0</v>
      </c>
      <c r="D5" s="33">
        <f>COUNTIF('Casos de Prueba'!$O$4:$O$13,"FALLÓ")</f>
        <v>0</v>
      </c>
    </row>
    <row r="6" spans="1:4" ht="22.5" customHeight="1" x14ac:dyDescent="0.25">
      <c r="A6" s="32" t="s">
        <v>86</v>
      </c>
      <c r="B6" s="33">
        <f>COUNTIF('Casos de Prueba'!$G$4:$G$13,"NO APLICA")</f>
        <v>0</v>
      </c>
      <c r="C6" s="33">
        <f>COUNTIF('Casos de Prueba'!$K$4:$K$13,"NO APLICA")</f>
        <v>0</v>
      </c>
      <c r="D6" s="33">
        <f>COUNTIF('Casos de Prueba'!$O$4:$O$13,"NO APLICA")</f>
        <v>0</v>
      </c>
    </row>
    <row r="7" spans="1:4" ht="23.25" customHeight="1" x14ac:dyDescent="0.25">
      <c r="A7" s="32" t="s">
        <v>87</v>
      </c>
      <c r="B7" s="33">
        <f t="shared" ref="B7:D7" si="0">B3-SUM(B4:B6)</f>
        <v>0</v>
      </c>
      <c r="C7" s="33">
        <f t="shared" si="0"/>
        <v>0</v>
      </c>
      <c r="D7" s="33">
        <f t="shared" si="0"/>
        <v>0</v>
      </c>
    </row>
    <row r="8" spans="1:4" ht="24.75" customHeight="1" x14ac:dyDescent="0.25">
      <c r="A8" s="32" t="s">
        <v>88</v>
      </c>
      <c r="B8" s="34">
        <f t="shared" ref="B8:D8" si="1">IFERROR(SUM(B4:B6)/B3,0)</f>
        <v>1</v>
      </c>
      <c r="C8" s="34">
        <f t="shared" si="1"/>
        <v>1</v>
      </c>
      <c r="D8" s="34">
        <f t="shared" si="1"/>
        <v>1</v>
      </c>
    </row>
    <row r="9" spans="1:4" ht="24" customHeight="1" x14ac:dyDescent="0.25">
      <c r="A9" s="32" t="s">
        <v>89</v>
      </c>
      <c r="B9" s="34">
        <f t="shared" ref="B9:D9" si="2">IFERROR(B4/B3,0)</f>
        <v>0.7</v>
      </c>
      <c r="C9" s="34">
        <f t="shared" si="2"/>
        <v>1</v>
      </c>
      <c r="D9" s="34">
        <f t="shared" si="2"/>
        <v>1</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D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5"/>
  <sheetViews>
    <sheetView workbookViewId="0">
      <selection activeCell="B6" sqref="B6:O6"/>
    </sheetView>
  </sheetViews>
  <sheetFormatPr baseColWidth="10" defaultColWidth="14.42578125" defaultRowHeight="15" x14ac:dyDescent="0.25"/>
  <sheetData>
    <row r="1" spans="1:15" ht="15.75" thickBot="1" x14ac:dyDescent="0.3">
      <c r="A1" s="71" t="s">
        <v>102</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35" t="s">
        <v>28</v>
      </c>
      <c r="C3" s="35" t="s">
        <v>93</v>
      </c>
      <c r="D3" s="26">
        <v>46257</v>
      </c>
      <c r="E3" s="35" t="s">
        <v>94</v>
      </c>
      <c r="F3" s="29" t="s">
        <v>28</v>
      </c>
      <c r="G3" s="38" t="s">
        <v>95</v>
      </c>
      <c r="H3" s="26">
        <v>46260</v>
      </c>
      <c r="I3" s="35" t="s">
        <v>96</v>
      </c>
      <c r="J3" s="23"/>
      <c r="K3" s="23"/>
      <c r="L3" s="23"/>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105</v>
      </c>
      <c r="C7" s="66"/>
      <c r="D7" s="66"/>
      <c r="E7" s="67"/>
      <c r="F7" s="65" t="s">
        <v>106</v>
      </c>
      <c r="G7" s="66"/>
      <c r="H7" s="66"/>
      <c r="I7" s="66"/>
      <c r="J7" s="67"/>
      <c r="K7" s="65" t="s">
        <v>107</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K6:O6"/>
    <mergeCell ref="A1:A15"/>
    <mergeCell ref="B5:O5"/>
    <mergeCell ref="B6:E6"/>
    <mergeCell ref="B7:E7"/>
    <mergeCell ref="F6:J6"/>
    <mergeCell ref="F7:J7"/>
    <mergeCell ref="B1:E1"/>
    <mergeCell ref="F1:I1"/>
    <mergeCell ref="J1:M1"/>
  </mergeCells>
  <conditionalFormatting sqref="B3 F3 J3">
    <cfRule type="cellIs" dxfId="146" priority="1" operator="equal">
      <formula>"NO APLICA"</formula>
    </cfRule>
  </conditionalFormatting>
  <conditionalFormatting sqref="B3 F3">
    <cfRule type="cellIs" dxfId="145" priority="2" stopIfTrue="1" operator="equal">
      <formula>"FALLÓ"</formula>
    </cfRule>
  </conditionalFormatting>
  <conditionalFormatting sqref="B3 F3">
    <cfRule type="cellIs" dxfId="144" priority="3" operator="equal">
      <formula>"PASÓ"</formula>
    </cfRule>
  </conditionalFormatting>
  <conditionalFormatting sqref="J3">
    <cfRule type="cellIs" dxfId="143" priority="4" operator="equal">
      <formula>"FALLÓ"</formula>
    </cfRule>
  </conditionalFormatting>
  <conditionalFormatting sqref="J3">
    <cfRule type="cellIs" dxfId="142" priority="5"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xr:uid="{6C3C8AE1-475F-4B27-ACCC-6502FF1A377C}">
          <x14:formula1>
            <xm:f>Datos!$A$2:$A$5</xm:f>
          </x14:formula1>
          <xm:sqref>B3 J3 F3</xm:sqref>
        </x14:dataValidation>
        <x14:dataValidation type="list" allowBlank="1" showErrorMessage="1" xr:uid="{8E079DFF-C34E-4CCE-8C03-9083E974248C}">
          <x14:formula1>
            <xm:f>Datos!$A$2:$A$4</xm:f>
          </x14:formula1>
          <xm:sqref>B3 F3 J3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40143-4B3E-4ED8-B18E-7E50295D3547}">
  <dimension ref="A1:O15"/>
  <sheetViews>
    <sheetView workbookViewId="0">
      <selection activeCell="B6" sqref="B6:O6"/>
    </sheetView>
  </sheetViews>
  <sheetFormatPr baseColWidth="10" defaultColWidth="14.42578125" defaultRowHeight="15" x14ac:dyDescent="0.25"/>
  <sheetData>
    <row r="1" spans="1:15" ht="15.75" thickBot="1" x14ac:dyDescent="0.3">
      <c r="A1" s="71" t="s">
        <v>118</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19" t="s">
        <v>33</v>
      </c>
      <c r="C3" s="37" t="s">
        <v>93</v>
      </c>
      <c r="D3" s="28">
        <v>46257</v>
      </c>
      <c r="E3" s="37" t="s">
        <v>101</v>
      </c>
      <c r="F3" s="19" t="s">
        <v>28</v>
      </c>
      <c r="G3" s="37" t="s">
        <v>95</v>
      </c>
      <c r="H3" s="28">
        <v>46257</v>
      </c>
      <c r="I3" s="37" t="s">
        <v>108</v>
      </c>
      <c r="J3" s="19"/>
      <c r="K3" s="20"/>
      <c r="L3" s="20"/>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105</v>
      </c>
      <c r="C7" s="66"/>
      <c r="D7" s="66"/>
      <c r="E7" s="67"/>
      <c r="F7" s="65" t="s">
        <v>109</v>
      </c>
      <c r="G7" s="66"/>
      <c r="H7" s="66"/>
      <c r="I7" s="66"/>
      <c r="J7" s="67"/>
      <c r="K7" s="65" t="s">
        <v>110</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B5:O5"/>
    <mergeCell ref="A1:A15"/>
    <mergeCell ref="B1:E1"/>
    <mergeCell ref="F1:I1"/>
    <mergeCell ref="J1:M1"/>
    <mergeCell ref="B6:E6"/>
    <mergeCell ref="F6:J6"/>
    <mergeCell ref="K6:O6"/>
    <mergeCell ref="B7:E7"/>
    <mergeCell ref="F7:J7"/>
  </mergeCells>
  <conditionalFormatting sqref="B3 F3 J3">
    <cfRule type="cellIs" dxfId="141" priority="1" operator="equal">
      <formula>"NO APLICA"</formula>
    </cfRule>
  </conditionalFormatting>
  <conditionalFormatting sqref="B3 F3">
    <cfRule type="cellIs" dxfId="140" priority="2" stopIfTrue="1" operator="equal">
      <formula>"FALLÓ"</formula>
    </cfRule>
  </conditionalFormatting>
  <conditionalFormatting sqref="B3 F3">
    <cfRule type="cellIs" dxfId="139" priority="3" operator="equal">
      <formula>"PASÓ"</formula>
    </cfRule>
  </conditionalFormatting>
  <conditionalFormatting sqref="J3">
    <cfRule type="cellIs" dxfId="138" priority="4" operator="equal">
      <formula>"FALLÓ"</formula>
    </cfRule>
  </conditionalFormatting>
  <conditionalFormatting sqref="J3">
    <cfRule type="cellIs" dxfId="137" priority="5"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ErrorMessage="1" xr:uid="{013E2E29-0B5D-4578-BED7-21DA68BAFB9D}">
          <x14:formula1>
            <xm:f>Datos!$A$2:$A$4</xm:f>
          </x14:formula1>
          <xm:sqref>B3 F3 J3</xm:sqref>
        </x14:dataValidation>
        <x14:dataValidation type="list" xr:uid="{E25C6344-3CF4-48FF-A539-3F612575EF68}">
          <x14:formula1>
            <xm:f>Datos!$A$2:$A$5</xm:f>
          </x14:formula1>
          <xm:sqref>B3 J3 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11693-7818-4389-BFFD-B65E9DE294C3}">
  <dimension ref="A1:O15"/>
  <sheetViews>
    <sheetView workbookViewId="0">
      <selection activeCell="B6" sqref="B6:O6"/>
    </sheetView>
  </sheetViews>
  <sheetFormatPr baseColWidth="10" defaultColWidth="14.42578125" defaultRowHeight="15" x14ac:dyDescent="0.25"/>
  <sheetData>
    <row r="1" spans="1:15" ht="15.75" thickBot="1" x14ac:dyDescent="0.3">
      <c r="A1" s="71" t="s">
        <v>119</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36" t="s">
        <v>28</v>
      </c>
      <c r="C3" s="37" t="s">
        <v>93</v>
      </c>
      <c r="D3" s="28">
        <v>46257</v>
      </c>
      <c r="E3" s="37" t="s">
        <v>94</v>
      </c>
      <c r="F3" s="19"/>
      <c r="G3" s="37"/>
      <c r="H3" s="28"/>
      <c r="I3" s="37"/>
      <c r="J3" s="19"/>
      <c r="K3" s="20"/>
      <c r="L3" s="20"/>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105</v>
      </c>
      <c r="C7" s="66"/>
      <c r="D7" s="66"/>
      <c r="E7" s="67"/>
      <c r="F7" s="65" t="s">
        <v>111</v>
      </c>
      <c r="G7" s="66"/>
      <c r="H7" s="66"/>
      <c r="I7" s="66"/>
      <c r="J7" s="67"/>
      <c r="K7" s="65" t="s">
        <v>110</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conditionalFormatting sqref="F3 J3">
    <cfRule type="cellIs" dxfId="136" priority="4" operator="equal">
      <formula>"NO APLICA"</formula>
    </cfRule>
  </conditionalFormatting>
  <conditionalFormatting sqref="F3">
    <cfRule type="cellIs" dxfId="135" priority="5" stopIfTrue="1" operator="equal">
      <formula>"FALLÓ"</formula>
    </cfRule>
  </conditionalFormatting>
  <conditionalFormatting sqref="F3">
    <cfRule type="cellIs" dxfId="134" priority="6" operator="equal">
      <formula>"PASÓ"</formula>
    </cfRule>
  </conditionalFormatting>
  <conditionalFormatting sqref="J3">
    <cfRule type="cellIs" dxfId="133" priority="7" operator="equal">
      <formula>"FALLÓ"</formula>
    </cfRule>
  </conditionalFormatting>
  <conditionalFormatting sqref="J3">
    <cfRule type="cellIs" dxfId="132" priority="8" operator="equal">
      <formula>"PASÓ"</formula>
    </cfRule>
  </conditionalFormatting>
  <conditionalFormatting sqref="B3">
    <cfRule type="cellIs" dxfId="131" priority="1" operator="equal">
      <formula>"NO APLICA"</formula>
    </cfRule>
  </conditionalFormatting>
  <conditionalFormatting sqref="B3">
    <cfRule type="cellIs" dxfId="130" priority="2" stopIfTrue="1" operator="equal">
      <formula>"FALLÓ"</formula>
    </cfRule>
  </conditionalFormatting>
  <conditionalFormatting sqref="B3">
    <cfRule type="cellIs" dxfId="129" priority="3"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xr:uid="{A7978198-303E-4C8E-A4E8-AB893E6C7894}">
          <x14:formula1>
            <xm:f>Datos!$A$2:$A$5</xm:f>
          </x14:formula1>
          <xm:sqref>F3 J3 B3</xm:sqref>
        </x14:dataValidation>
        <x14:dataValidation type="list" allowBlank="1" showErrorMessage="1" xr:uid="{F4A73C94-255E-489B-B5AC-D92FC0A20AD8}">
          <x14:formula1>
            <xm:f>Datos!$A$2:$A$4</xm:f>
          </x14:formula1>
          <xm:sqref>J3 F3 B3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CE894-5E28-46FF-92B7-0133C6470027}">
  <dimension ref="A1:O15"/>
  <sheetViews>
    <sheetView workbookViewId="0">
      <selection activeCell="B6" sqref="B6:O6"/>
    </sheetView>
  </sheetViews>
  <sheetFormatPr baseColWidth="10" defaultColWidth="14.42578125" defaultRowHeight="15" x14ac:dyDescent="0.25"/>
  <sheetData>
    <row r="1" spans="1:15" ht="15.75" thickBot="1" x14ac:dyDescent="0.3">
      <c r="A1" s="71" t="s">
        <v>120</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36" t="s">
        <v>28</v>
      </c>
      <c r="C3" s="37" t="s">
        <v>93</v>
      </c>
      <c r="D3" s="28">
        <v>46260</v>
      </c>
      <c r="E3" s="37" t="s">
        <v>94</v>
      </c>
      <c r="F3" s="19"/>
      <c r="G3" s="37"/>
      <c r="H3" s="28"/>
      <c r="I3" s="37"/>
      <c r="J3" s="19"/>
      <c r="K3" s="20"/>
      <c r="L3" s="20"/>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105</v>
      </c>
      <c r="C7" s="66"/>
      <c r="D7" s="66"/>
      <c r="E7" s="67"/>
      <c r="F7" s="65" t="s">
        <v>115</v>
      </c>
      <c r="G7" s="66"/>
      <c r="H7" s="66"/>
      <c r="I7" s="66"/>
      <c r="J7" s="67"/>
      <c r="K7" s="65" t="s">
        <v>116</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conditionalFormatting sqref="F3 J3">
    <cfRule type="cellIs" dxfId="128" priority="4" operator="equal">
      <formula>"NO APLICA"</formula>
    </cfRule>
  </conditionalFormatting>
  <conditionalFormatting sqref="F3">
    <cfRule type="cellIs" dxfId="127" priority="5" stopIfTrue="1" operator="equal">
      <formula>"FALLÓ"</formula>
    </cfRule>
  </conditionalFormatting>
  <conditionalFormatting sqref="F3">
    <cfRule type="cellIs" dxfId="126" priority="6" operator="equal">
      <formula>"PASÓ"</formula>
    </cfRule>
  </conditionalFormatting>
  <conditionalFormatting sqref="J3">
    <cfRule type="cellIs" dxfId="125" priority="7" operator="equal">
      <formula>"FALLÓ"</formula>
    </cfRule>
  </conditionalFormatting>
  <conditionalFormatting sqref="J3">
    <cfRule type="cellIs" dxfId="124" priority="8" operator="equal">
      <formula>"PASÓ"</formula>
    </cfRule>
  </conditionalFormatting>
  <conditionalFormatting sqref="B3">
    <cfRule type="cellIs" dxfId="123" priority="1" operator="equal">
      <formula>"NO APLICA"</formula>
    </cfRule>
  </conditionalFormatting>
  <conditionalFormatting sqref="B3">
    <cfRule type="cellIs" dxfId="122" priority="2" stopIfTrue="1" operator="equal">
      <formula>"FALLÓ"</formula>
    </cfRule>
  </conditionalFormatting>
  <conditionalFormatting sqref="B3">
    <cfRule type="cellIs" dxfId="121" priority="3"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ErrorMessage="1" xr:uid="{E5DC31C5-2414-4AF1-955C-BF63DC870988}">
          <x14:formula1>
            <xm:f>Datos!$A$2:$A$4</xm:f>
          </x14:formula1>
          <xm:sqref>J3 F3 B3</xm:sqref>
        </x14:dataValidation>
        <x14:dataValidation type="list" xr:uid="{2405D1C2-3D7F-4108-818D-15D0682996E3}">
          <x14:formula1>
            <xm:f>Datos!$A$2:$A$5</xm:f>
          </x14:formula1>
          <xm:sqref>F3 J3 B3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AEC58-854B-42F4-9AE7-716152A035ED}">
  <dimension ref="A1:O15"/>
  <sheetViews>
    <sheetView workbookViewId="0">
      <selection activeCell="B6" sqref="B6:O6"/>
    </sheetView>
  </sheetViews>
  <sheetFormatPr baseColWidth="10" defaultColWidth="14.42578125" defaultRowHeight="15" x14ac:dyDescent="0.25"/>
  <sheetData>
    <row r="1" spans="1:15" ht="15.75" thickBot="1" x14ac:dyDescent="0.3">
      <c r="A1" s="71" t="s">
        <v>121</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36" t="s">
        <v>28</v>
      </c>
      <c r="C3" s="37" t="s">
        <v>93</v>
      </c>
      <c r="D3" s="28">
        <v>46260</v>
      </c>
      <c r="E3" s="37" t="s">
        <v>94</v>
      </c>
      <c r="F3" s="19"/>
      <c r="G3" s="37"/>
      <c r="H3" s="28"/>
      <c r="I3" s="37"/>
      <c r="J3" s="19"/>
      <c r="K3" s="20"/>
      <c r="L3" s="20"/>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122</v>
      </c>
      <c r="C7" s="66"/>
      <c r="D7" s="66"/>
      <c r="E7" s="67"/>
      <c r="F7" s="65" t="s">
        <v>123</v>
      </c>
      <c r="G7" s="66"/>
      <c r="H7" s="66"/>
      <c r="I7" s="66"/>
      <c r="J7" s="67"/>
      <c r="K7" s="65" t="s">
        <v>124</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conditionalFormatting sqref="F3 J3">
    <cfRule type="cellIs" dxfId="120" priority="4" operator="equal">
      <formula>"NO APLICA"</formula>
    </cfRule>
  </conditionalFormatting>
  <conditionalFormatting sqref="F3">
    <cfRule type="cellIs" dxfId="119" priority="5" stopIfTrue="1" operator="equal">
      <formula>"FALLÓ"</formula>
    </cfRule>
  </conditionalFormatting>
  <conditionalFormatting sqref="F3">
    <cfRule type="cellIs" dxfId="118" priority="6" operator="equal">
      <formula>"PASÓ"</formula>
    </cfRule>
  </conditionalFormatting>
  <conditionalFormatting sqref="J3">
    <cfRule type="cellIs" dxfId="117" priority="7" operator="equal">
      <formula>"FALLÓ"</formula>
    </cfRule>
  </conditionalFormatting>
  <conditionalFormatting sqref="J3">
    <cfRule type="cellIs" dxfId="116" priority="8" operator="equal">
      <formula>"PASÓ"</formula>
    </cfRule>
  </conditionalFormatting>
  <conditionalFormatting sqref="B3">
    <cfRule type="cellIs" dxfId="115" priority="1" operator="equal">
      <formula>"NO APLICA"</formula>
    </cfRule>
  </conditionalFormatting>
  <conditionalFormatting sqref="B3">
    <cfRule type="cellIs" dxfId="114" priority="2" stopIfTrue="1" operator="equal">
      <formula>"FALLÓ"</formula>
    </cfRule>
  </conditionalFormatting>
  <conditionalFormatting sqref="B3">
    <cfRule type="cellIs" dxfId="113" priority="3"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xr:uid="{D1C5CCE0-C0AD-4B8C-9205-A5044CB5C74D}">
          <x14:formula1>
            <xm:f>Datos!$A$2:$A$5</xm:f>
          </x14:formula1>
          <xm:sqref>F3 J3 B3</xm:sqref>
        </x14:dataValidation>
        <x14:dataValidation type="list" allowBlank="1" showErrorMessage="1" xr:uid="{8AF6FEEA-78BF-40A0-B67D-77F6278CC23C}">
          <x14:formula1>
            <xm:f>Datos!$A$2:$A$4</xm:f>
          </x14:formula1>
          <xm:sqref>J3 F3 B3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6E91D-106B-485E-BC00-080F3E41DE0E}">
  <dimension ref="A1:O15"/>
  <sheetViews>
    <sheetView workbookViewId="0">
      <selection activeCell="B6" sqref="B6:O6"/>
    </sheetView>
  </sheetViews>
  <sheetFormatPr baseColWidth="10" defaultColWidth="14.42578125" defaultRowHeight="15" x14ac:dyDescent="0.25"/>
  <sheetData>
    <row r="1" spans="1:15" ht="15.75" thickBot="1" x14ac:dyDescent="0.3">
      <c r="A1" s="71" t="s">
        <v>128</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36" t="s">
        <v>28</v>
      </c>
      <c r="C3" s="37" t="s">
        <v>93</v>
      </c>
      <c r="D3" s="28">
        <v>46196</v>
      </c>
      <c r="E3" s="37" t="s">
        <v>94</v>
      </c>
      <c r="F3" s="19"/>
      <c r="G3" s="37"/>
      <c r="H3" s="28"/>
      <c r="I3" s="37"/>
      <c r="J3" s="19"/>
      <c r="K3" s="20"/>
      <c r="L3" s="20"/>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122</v>
      </c>
      <c r="C7" s="66"/>
      <c r="D7" s="66"/>
      <c r="E7" s="67"/>
      <c r="F7" s="65" t="s">
        <v>129</v>
      </c>
      <c r="G7" s="66"/>
      <c r="H7" s="66"/>
      <c r="I7" s="66"/>
      <c r="J7" s="67"/>
      <c r="K7" s="65" t="s">
        <v>130</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conditionalFormatting sqref="F3 J3">
    <cfRule type="cellIs" dxfId="112" priority="4" operator="equal">
      <formula>"NO APLICA"</formula>
    </cfRule>
  </conditionalFormatting>
  <conditionalFormatting sqref="F3">
    <cfRule type="cellIs" dxfId="111" priority="5" stopIfTrue="1" operator="equal">
      <formula>"FALLÓ"</formula>
    </cfRule>
  </conditionalFormatting>
  <conditionalFormatting sqref="F3">
    <cfRule type="cellIs" dxfId="110" priority="6" operator="equal">
      <formula>"PASÓ"</formula>
    </cfRule>
  </conditionalFormatting>
  <conditionalFormatting sqref="J3">
    <cfRule type="cellIs" dxfId="109" priority="7" operator="equal">
      <formula>"FALLÓ"</formula>
    </cfRule>
  </conditionalFormatting>
  <conditionalFormatting sqref="J3">
    <cfRule type="cellIs" dxfId="108" priority="8" operator="equal">
      <formula>"PASÓ"</formula>
    </cfRule>
  </conditionalFormatting>
  <conditionalFormatting sqref="B3">
    <cfRule type="cellIs" dxfId="107" priority="1" operator="equal">
      <formula>"NO APLICA"</formula>
    </cfRule>
  </conditionalFormatting>
  <conditionalFormatting sqref="B3">
    <cfRule type="cellIs" dxfId="106" priority="2" stopIfTrue="1" operator="equal">
      <formula>"FALLÓ"</formula>
    </cfRule>
  </conditionalFormatting>
  <conditionalFormatting sqref="B3">
    <cfRule type="cellIs" dxfId="105" priority="3"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ErrorMessage="1" xr:uid="{58A0D9EA-DADA-4534-A7E2-DC41623C9640}">
          <x14:formula1>
            <xm:f>Datos!$A$2:$A$4</xm:f>
          </x14:formula1>
          <xm:sqref>J3 F3 B3</xm:sqref>
        </x14:dataValidation>
        <x14:dataValidation type="list" xr:uid="{E46E7063-E881-4EEC-A579-D8D478D5BEBF}">
          <x14:formula1>
            <xm:f>Datos!$A$2:$A$5</xm:f>
          </x14:formula1>
          <xm:sqref>F3 J3 B3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667D2-7177-4A16-AF4E-F52C12224B96}">
  <dimension ref="A1:O15"/>
  <sheetViews>
    <sheetView workbookViewId="0">
      <selection activeCell="B6" sqref="B6:O6"/>
    </sheetView>
  </sheetViews>
  <sheetFormatPr baseColWidth="10" defaultColWidth="14.42578125" defaultRowHeight="15" x14ac:dyDescent="0.25"/>
  <sheetData>
    <row r="1" spans="1:15" ht="15.75" thickBot="1" x14ac:dyDescent="0.3">
      <c r="A1" s="74" t="s">
        <v>139</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36" t="s">
        <v>33</v>
      </c>
      <c r="C3" s="37" t="s">
        <v>93</v>
      </c>
      <c r="D3" s="28">
        <v>46261</v>
      </c>
      <c r="E3" s="20" t="s">
        <v>135</v>
      </c>
      <c r="F3" s="19" t="s">
        <v>33</v>
      </c>
      <c r="G3" s="20" t="s">
        <v>93</v>
      </c>
      <c r="H3" s="28">
        <v>46261</v>
      </c>
      <c r="I3" s="20" t="s">
        <v>136</v>
      </c>
      <c r="J3" s="19" t="s">
        <v>28</v>
      </c>
      <c r="K3" s="20" t="s">
        <v>93</v>
      </c>
      <c r="L3" s="28">
        <v>46261</v>
      </c>
      <c r="M3" s="27" t="s">
        <v>137</v>
      </c>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122</v>
      </c>
      <c r="C7" s="66"/>
      <c r="D7" s="66"/>
      <c r="E7" s="67"/>
      <c r="F7" s="65" t="s">
        <v>129</v>
      </c>
      <c r="G7" s="66"/>
      <c r="H7" s="66"/>
      <c r="I7" s="66"/>
      <c r="J7" s="67"/>
      <c r="K7" s="65" t="s">
        <v>130</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conditionalFormatting sqref="F3 J3">
    <cfRule type="cellIs" dxfId="80" priority="4" operator="equal">
      <formula>"NO APLICA"</formula>
    </cfRule>
  </conditionalFormatting>
  <conditionalFormatting sqref="F3">
    <cfRule type="cellIs" dxfId="79" priority="5" stopIfTrue="1" operator="equal">
      <formula>"FALLÓ"</formula>
    </cfRule>
  </conditionalFormatting>
  <conditionalFormatting sqref="F3">
    <cfRule type="cellIs" dxfId="78" priority="6" operator="equal">
      <formula>"PASÓ"</formula>
    </cfRule>
  </conditionalFormatting>
  <conditionalFormatting sqref="J3">
    <cfRule type="cellIs" dxfId="77" priority="7" operator="equal">
      <formula>"FALLÓ"</formula>
    </cfRule>
  </conditionalFormatting>
  <conditionalFormatting sqref="J3">
    <cfRule type="cellIs" dxfId="76" priority="8" operator="equal">
      <formula>"PASÓ"</formula>
    </cfRule>
  </conditionalFormatting>
  <conditionalFormatting sqref="B3">
    <cfRule type="cellIs" dxfId="75" priority="1" operator="equal">
      <formula>"NO APLICA"</formula>
    </cfRule>
  </conditionalFormatting>
  <conditionalFormatting sqref="B3">
    <cfRule type="cellIs" dxfId="74" priority="2" stopIfTrue="1" operator="equal">
      <formula>"FALLÓ"</formula>
    </cfRule>
  </conditionalFormatting>
  <conditionalFormatting sqref="B3">
    <cfRule type="cellIs" dxfId="73" priority="3"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xr:uid="{AFB3F15F-4BCC-4C7D-9AF4-FF40A3C12EFE}">
          <x14:formula1>
            <xm:f>Datos!$A$2:$A$5</xm:f>
          </x14:formula1>
          <xm:sqref>F3 J3 B3</xm:sqref>
        </x14:dataValidation>
        <x14:dataValidation type="list" allowBlank="1" showErrorMessage="1" xr:uid="{50684427-622D-4A96-AF0A-15BC6C5C78C5}">
          <x14:formula1>
            <xm:f>Datos!$A$2:$A$4</xm:f>
          </x14:formula1>
          <xm:sqref>J3 F3 B3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AE565-F866-4AF5-9991-68C9D56E16DE}">
  <dimension ref="A1:O15"/>
  <sheetViews>
    <sheetView topLeftCell="A2" workbookViewId="0">
      <selection activeCell="B6" sqref="B6:O6"/>
    </sheetView>
  </sheetViews>
  <sheetFormatPr baseColWidth="10" defaultColWidth="14.42578125" defaultRowHeight="15" x14ac:dyDescent="0.25"/>
  <sheetData>
    <row r="1" spans="1:15" ht="15.75" thickBot="1" x14ac:dyDescent="0.3">
      <c r="A1" s="74" t="s">
        <v>140</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19" t="s">
        <v>33</v>
      </c>
      <c r="C3" s="20" t="s">
        <v>93</v>
      </c>
      <c r="D3" s="28">
        <v>46262</v>
      </c>
      <c r="E3" s="20" t="s">
        <v>143</v>
      </c>
      <c r="F3" s="19" t="s">
        <v>28</v>
      </c>
      <c r="G3" s="20" t="s">
        <v>95</v>
      </c>
      <c r="H3" s="28">
        <v>46262</v>
      </c>
      <c r="I3" s="20" t="s">
        <v>144</v>
      </c>
      <c r="J3" s="19"/>
      <c r="K3" s="20"/>
      <c r="L3" s="28"/>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65" t="s">
        <v>122</v>
      </c>
      <c r="C7" s="66"/>
      <c r="D7" s="66"/>
      <c r="E7" s="67"/>
      <c r="F7" s="75" t="s">
        <v>145</v>
      </c>
      <c r="G7" s="66"/>
      <c r="H7" s="66"/>
      <c r="I7" s="66"/>
      <c r="J7" s="67"/>
      <c r="K7" s="75" t="s">
        <v>146</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conditionalFormatting sqref="J3">
    <cfRule type="cellIs" dxfId="96" priority="11" operator="equal">
      <formula>"NO APLICA"</formula>
    </cfRule>
  </conditionalFormatting>
  <conditionalFormatting sqref="J3">
    <cfRule type="cellIs" dxfId="93" priority="14" operator="equal">
      <formula>"FALLÓ"</formula>
    </cfRule>
  </conditionalFormatting>
  <conditionalFormatting sqref="J3">
    <cfRule type="cellIs" dxfId="92" priority="15" operator="equal">
      <formula>"PASÓ"</formula>
    </cfRule>
  </conditionalFormatting>
  <conditionalFormatting sqref="B3 F3">
    <cfRule type="cellIs" dxfId="72" priority="1" operator="equal">
      <formula>"NO APLICA"</formula>
    </cfRule>
  </conditionalFormatting>
  <conditionalFormatting sqref="B3 F3">
    <cfRule type="cellIs" dxfId="71" priority="2" stopIfTrue="1" operator="equal">
      <formula>"FALLÓ"</formula>
    </cfRule>
  </conditionalFormatting>
  <conditionalFormatting sqref="B3 F3">
    <cfRule type="cellIs" dxfId="70" priority="3" operator="equal">
      <formula>"PASÓ"</formula>
    </cfRule>
  </conditionalFormatting>
  <conditionalFormatting sqref="F3">
    <cfRule type="expression" dxfId="69" priority="4">
      <formula>$K3="FALLÓ"</formula>
    </cfRule>
  </conditionalFormatting>
  <conditionalFormatting sqref="F3">
    <cfRule type="expression" dxfId="68" priority="5">
      <formula>$K3="PASÓ"</formula>
    </cfRule>
  </conditionalFormatting>
  <conditionalFormatting sqref="F3">
    <cfRule type="cellIs" dxfId="67" priority="6" operator="equal">
      <formula>"FALLÓ"</formula>
    </cfRule>
  </conditionalFormatting>
  <conditionalFormatting sqref="F3">
    <cfRule type="cellIs" dxfId="66" priority="7"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ErrorMessage="1" xr:uid="{9F6A5C66-01D0-43E1-B5CC-7A9297DE09C0}">
          <x14:formula1>
            <xm:f>Datos!$A$2:$A$4</xm:f>
          </x14:formula1>
          <xm:sqref>J3 B3 F3</xm:sqref>
        </x14:dataValidation>
        <x14:dataValidation type="list" xr:uid="{95C4377E-3FCD-4A1F-B6A6-1851DAA770A9}">
          <x14:formula1>
            <xm:f>Datos!$A$2:$A$5</xm:f>
          </x14:formula1>
          <xm:sqref>J3 B3 F3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BFD9-FF87-4E0F-8355-C5A774D4F76E}">
  <dimension ref="A1:O15"/>
  <sheetViews>
    <sheetView workbookViewId="0">
      <selection activeCell="G17" sqref="G17"/>
    </sheetView>
  </sheetViews>
  <sheetFormatPr baseColWidth="10" defaultColWidth="14.42578125" defaultRowHeight="15" x14ac:dyDescent="0.25"/>
  <sheetData>
    <row r="1" spans="1:15" ht="15.75" thickBot="1" x14ac:dyDescent="0.3">
      <c r="A1" s="74" t="s">
        <v>134</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19" t="s">
        <v>33</v>
      </c>
      <c r="C3" s="20" t="s">
        <v>93</v>
      </c>
      <c r="D3" s="28">
        <v>46262</v>
      </c>
      <c r="E3" s="20" t="s">
        <v>143</v>
      </c>
      <c r="F3" s="19" t="s">
        <v>28</v>
      </c>
      <c r="G3" s="20" t="s">
        <v>95</v>
      </c>
      <c r="H3" s="28">
        <v>46262</v>
      </c>
      <c r="I3" s="20" t="s">
        <v>144</v>
      </c>
      <c r="J3" s="19"/>
      <c r="K3" s="20"/>
      <c r="L3" s="20"/>
      <c r="M3" s="27"/>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75" t="s">
        <v>148</v>
      </c>
      <c r="C7" s="66"/>
      <c r="D7" s="66"/>
      <c r="E7" s="67"/>
      <c r="F7" s="75" t="s">
        <v>147</v>
      </c>
      <c r="G7" s="66"/>
      <c r="H7" s="66"/>
      <c r="I7" s="66"/>
      <c r="J7" s="67"/>
      <c r="K7" s="75" t="s">
        <v>145</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conditionalFormatting sqref="J3">
    <cfRule type="cellIs" dxfId="88" priority="11" operator="equal">
      <formula>"NO APLICA"</formula>
    </cfRule>
  </conditionalFormatting>
  <conditionalFormatting sqref="J3">
    <cfRule type="cellIs" dxfId="85" priority="14" operator="equal">
      <formula>"FALLÓ"</formula>
    </cfRule>
  </conditionalFormatting>
  <conditionalFormatting sqref="J3">
    <cfRule type="cellIs" dxfId="84" priority="15" operator="equal">
      <formula>"PASÓ"</formula>
    </cfRule>
  </conditionalFormatting>
  <conditionalFormatting sqref="B3 F3">
    <cfRule type="cellIs" dxfId="65" priority="1" operator="equal">
      <formula>"NO APLICA"</formula>
    </cfRule>
  </conditionalFormatting>
  <conditionalFormatting sqref="B3 F3">
    <cfRule type="cellIs" dxfId="64" priority="2" stopIfTrue="1" operator="equal">
      <formula>"FALLÓ"</formula>
    </cfRule>
  </conditionalFormatting>
  <conditionalFormatting sqref="B3 F3">
    <cfRule type="cellIs" dxfId="63" priority="3" operator="equal">
      <formula>"PASÓ"</formula>
    </cfRule>
  </conditionalFormatting>
  <conditionalFormatting sqref="F3">
    <cfRule type="expression" dxfId="62" priority="4">
      <formula>$K3="FALLÓ"</formula>
    </cfRule>
  </conditionalFormatting>
  <conditionalFormatting sqref="F3">
    <cfRule type="expression" dxfId="61" priority="5">
      <formula>$K3="PASÓ"</formula>
    </cfRule>
  </conditionalFormatting>
  <conditionalFormatting sqref="F3">
    <cfRule type="cellIs" dxfId="60" priority="6" operator="equal">
      <formula>"FALLÓ"</formula>
    </cfRule>
  </conditionalFormatting>
  <conditionalFormatting sqref="F3">
    <cfRule type="cellIs" dxfId="59" priority="7" operator="equal">
      <formula>"PASÓ"</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xr:uid="{27227F34-FE72-4274-B66E-28666F6A333D}">
          <x14:formula1>
            <xm:f>Datos!$A$2:$A$5</xm:f>
          </x14:formula1>
          <xm:sqref>J3 B3 F3</xm:sqref>
        </x14:dataValidation>
        <x14:dataValidation type="list" allowBlank="1" showErrorMessage="1" xr:uid="{1EC58FB3-29D2-40A6-9843-9D1990BB4B8C}">
          <x14:formula1>
            <xm:f>Datos!$A$2:$A$4</xm:f>
          </x14:formula1>
          <xm:sqref>J3 B3 F3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51AC-6D8B-47B2-B171-B897A383C7BA}">
  <dimension ref="A1:O15"/>
  <sheetViews>
    <sheetView topLeftCell="E1" workbookViewId="0">
      <selection activeCell="M17" sqref="M17"/>
    </sheetView>
  </sheetViews>
  <sheetFormatPr baseColWidth="10" defaultColWidth="14.42578125" defaultRowHeight="15" x14ac:dyDescent="0.25"/>
  <sheetData>
    <row r="1" spans="1:15" ht="15.75" thickBot="1" x14ac:dyDescent="0.3">
      <c r="A1" s="74" t="s">
        <v>157</v>
      </c>
      <c r="B1" s="50" t="s">
        <v>7</v>
      </c>
      <c r="C1" s="51"/>
      <c r="D1" s="51"/>
      <c r="E1" s="52"/>
      <c r="F1" s="50" t="s">
        <v>8</v>
      </c>
      <c r="G1" s="51"/>
      <c r="H1" s="51"/>
      <c r="I1" s="52"/>
      <c r="J1" s="50" t="s">
        <v>9</v>
      </c>
      <c r="K1" s="51"/>
      <c r="L1" s="51"/>
      <c r="M1" s="52"/>
    </row>
    <row r="2" spans="1:15" ht="15.75" thickBot="1" x14ac:dyDescent="0.3">
      <c r="A2" s="71"/>
      <c r="B2" s="8" t="s">
        <v>10</v>
      </c>
      <c r="C2" s="8" t="s">
        <v>11</v>
      </c>
      <c r="D2" s="8" t="s">
        <v>12</v>
      </c>
      <c r="E2" s="8" t="s">
        <v>13</v>
      </c>
      <c r="F2" s="8" t="s">
        <v>10</v>
      </c>
      <c r="G2" s="8" t="s">
        <v>14</v>
      </c>
      <c r="H2" s="8" t="s">
        <v>12</v>
      </c>
      <c r="I2" s="8" t="s">
        <v>13</v>
      </c>
      <c r="J2" s="8" t="s">
        <v>10</v>
      </c>
      <c r="K2" s="8" t="s">
        <v>14</v>
      </c>
      <c r="L2" s="8" t="s">
        <v>12</v>
      </c>
      <c r="M2" s="8" t="s">
        <v>13</v>
      </c>
    </row>
    <row r="3" spans="1:15" ht="84" customHeight="1" x14ac:dyDescent="0.25">
      <c r="A3" s="71"/>
      <c r="B3" s="78" t="s">
        <v>28</v>
      </c>
      <c r="C3" s="79" t="s">
        <v>95</v>
      </c>
      <c r="D3" s="80">
        <v>46262</v>
      </c>
      <c r="E3" s="81" t="s">
        <v>94</v>
      </c>
      <c r="F3" s="78" t="s">
        <v>28</v>
      </c>
      <c r="G3" s="79" t="s">
        <v>95</v>
      </c>
      <c r="H3" s="80">
        <v>46262</v>
      </c>
      <c r="I3" s="81" t="s">
        <v>156</v>
      </c>
      <c r="J3" s="78" t="s">
        <v>28</v>
      </c>
      <c r="K3" s="81" t="s">
        <v>95</v>
      </c>
      <c r="L3" s="82">
        <v>46262</v>
      </c>
      <c r="M3" s="81" t="s">
        <v>156</v>
      </c>
    </row>
    <row r="4" spans="1:15" x14ac:dyDescent="0.25">
      <c r="A4" s="71"/>
      <c r="F4" s="39"/>
      <c r="G4" s="39"/>
    </row>
    <row r="5" spans="1:15" x14ac:dyDescent="0.25">
      <c r="A5" s="71"/>
      <c r="B5" s="72" t="s">
        <v>103</v>
      </c>
      <c r="C5" s="73"/>
      <c r="D5" s="73"/>
      <c r="E5" s="73"/>
      <c r="F5" s="73"/>
      <c r="G5" s="73"/>
      <c r="H5" s="73"/>
      <c r="I5" s="73"/>
      <c r="J5" s="73"/>
      <c r="K5" s="73"/>
      <c r="L5" s="73"/>
      <c r="M5" s="73"/>
      <c r="N5" s="73"/>
      <c r="O5" s="73"/>
    </row>
    <row r="6" spans="1:15" x14ac:dyDescent="0.25">
      <c r="A6" s="71"/>
      <c r="B6" s="68" t="s">
        <v>104</v>
      </c>
      <c r="C6" s="69"/>
      <c r="D6" s="69"/>
      <c r="E6" s="70"/>
      <c r="F6" s="76" t="s">
        <v>149</v>
      </c>
      <c r="G6" s="69"/>
      <c r="H6" s="69"/>
      <c r="I6" s="69"/>
      <c r="J6" s="70"/>
      <c r="K6" s="76" t="s">
        <v>150</v>
      </c>
      <c r="L6" s="69"/>
      <c r="M6" s="69"/>
      <c r="N6" s="69"/>
      <c r="O6" s="70"/>
    </row>
    <row r="7" spans="1:15" x14ac:dyDescent="0.25">
      <c r="A7" s="71"/>
      <c r="B7" s="75" t="s">
        <v>158</v>
      </c>
      <c r="C7" s="66"/>
      <c r="D7" s="66"/>
      <c r="E7" s="67"/>
      <c r="F7" s="75" t="s">
        <v>159</v>
      </c>
      <c r="G7" s="66"/>
      <c r="H7" s="66"/>
      <c r="I7" s="66"/>
      <c r="J7" s="67"/>
      <c r="K7" s="75" t="s">
        <v>160</v>
      </c>
      <c r="L7" s="66"/>
      <c r="M7" s="66"/>
      <c r="N7" s="66"/>
      <c r="O7" s="67"/>
    </row>
    <row r="8" spans="1:15" x14ac:dyDescent="0.25">
      <c r="A8" s="71"/>
      <c r="B8" s="40"/>
      <c r="C8" s="41"/>
      <c r="D8" s="41"/>
      <c r="E8" s="42"/>
      <c r="F8" s="46"/>
      <c r="G8" s="41"/>
      <c r="H8" s="41"/>
      <c r="I8" s="41"/>
      <c r="J8" s="42"/>
      <c r="K8" s="41"/>
      <c r="L8" s="41"/>
      <c r="M8" s="41"/>
      <c r="N8" s="41"/>
      <c r="O8" s="42"/>
    </row>
    <row r="9" spans="1:15" x14ac:dyDescent="0.25">
      <c r="A9" s="71"/>
      <c r="B9" s="40"/>
      <c r="C9" s="41"/>
      <c r="D9" s="41"/>
      <c r="E9" s="42"/>
      <c r="F9" s="40"/>
      <c r="G9" s="41"/>
      <c r="H9" s="41"/>
      <c r="I9" s="41"/>
      <c r="J9" s="42"/>
      <c r="K9" s="41"/>
      <c r="L9" s="41"/>
      <c r="M9" s="41"/>
      <c r="N9" s="41"/>
      <c r="O9" s="42"/>
    </row>
    <row r="10" spans="1:15" x14ac:dyDescent="0.25">
      <c r="A10" s="71"/>
      <c r="B10" s="40"/>
      <c r="C10" s="41"/>
      <c r="D10" s="41"/>
      <c r="E10" s="42"/>
      <c r="F10" s="40"/>
      <c r="G10" s="41"/>
      <c r="H10" s="41"/>
      <c r="I10" s="41"/>
      <c r="J10" s="42"/>
      <c r="K10" s="41"/>
      <c r="L10" s="41"/>
      <c r="M10" s="41"/>
      <c r="N10" s="41"/>
      <c r="O10" s="42"/>
    </row>
    <row r="11" spans="1:15" x14ac:dyDescent="0.25">
      <c r="A11" s="71"/>
      <c r="B11" s="40"/>
      <c r="C11" s="41"/>
      <c r="D11" s="41"/>
      <c r="E11" s="42"/>
      <c r="F11" s="40"/>
      <c r="G11" s="41"/>
      <c r="H11" s="41"/>
      <c r="I11" s="41"/>
      <c r="J11" s="42"/>
      <c r="K11" s="41"/>
      <c r="L11" s="41"/>
      <c r="M11" s="41"/>
      <c r="N11" s="41"/>
      <c r="O11" s="42"/>
    </row>
    <row r="12" spans="1:15" x14ac:dyDescent="0.25">
      <c r="A12" s="71"/>
      <c r="B12" s="40"/>
      <c r="C12" s="41"/>
      <c r="D12" s="41"/>
      <c r="E12" s="42"/>
      <c r="F12" s="40"/>
      <c r="G12" s="41"/>
      <c r="H12" s="41"/>
      <c r="I12" s="41"/>
      <c r="J12" s="42"/>
      <c r="K12" s="41"/>
      <c r="L12" s="41"/>
      <c r="M12" s="41"/>
      <c r="N12" s="41"/>
      <c r="O12" s="42"/>
    </row>
    <row r="13" spans="1:15" x14ac:dyDescent="0.25">
      <c r="A13" s="71"/>
      <c r="B13" s="40"/>
      <c r="C13" s="41"/>
      <c r="D13" s="41"/>
      <c r="E13" s="42"/>
      <c r="F13" s="40"/>
      <c r="G13" s="41"/>
      <c r="H13" s="41"/>
      <c r="I13" s="41"/>
      <c r="J13" s="42"/>
      <c r="K13" s="41"/>
      <c r="L13" s="41"/>
      <c r="M13" s="41"/>
      <c r="N13" s="41"/>
      <c r="O13" s="42"/>
    </row>
    <row r="14" spans="1:15" x14ac:dyDescent="0.25">
      <c r="A14" s="71"/>
      <c r="B14" s="40"/>
      <c r="C14" s="41"/>
      <c r="D14" s="41"/>
      <c r="E14" s="42"/>
      <c r="F14" s="40"/>
      <c r="G14" s="41"/>
      <c r="H14" s="41"/>
      <c r="I14" s="41"/>
      <c r="J14" s="42"/>
      <c r="K14" s="41"/>
      <c r="L14" s="41"/>
      <c r="M14" s="41"/>
      <c r="N14" s="41"/>
      <c r="O14" s="42"/>
    </row>
    <row r="15" spans="1:15" x14ac:dyDescent="0.25">
      <c r="A15" s="71"/>
      <c r="B15" s="43"/>
      <c r="C15" s="44"/>
      <c r="D15" s="44"/>
      <c r="E15" s="45"/>
      <c r="F15" s="43"/>
      <c r="G15" s="44"/>
      <c r="H15" s="44"/>
      <c r="I15" s="44"/>
      <c r="J15" s="45"/>
      <c r="K15" s="44"/>
      <c r="L15" s="44"/>
      <c r="M15" s="44"/>
      <c r="N15" s="44"/>
      <c r="O15" s="45"/>
    </row>
  </sheetData>
  <mergeCells count="11">
    <mergeCell ref="K7:O7"/>
    <mergeCell ref="A1:A15"/>
    <mergeCell ref="B1:E1"/>
    <mergeCell ref="F1:I1"/>
    <mergeCell ref="J1:M1"/>
    <mergeCell ref="B5:O5"/>
    <mergeCell ref="B6:E6"/>
    <mergeCell ref="F6:J6"/>
    <mergeCell ref="K6:O6"/>
    <mergeCell ref="B7:E7"/>
    <mergeCell ref="F7:J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topLeftCell="A4" workbookViewId="0"/>
  </sheetViews>
  <sheetFormatPr baseColWidth="10" defaultColWidth="14.42578125" defaultRowHeight="15" x14ac:dyDescent="0.25"/>
  <cols>
    <col min="1" max="1" width="14.5703125" customWidth="1"/>
    <col min="2" max="2" width="22.85546875" customWidth="1"/>
    <col min="3" max="3" width="18.42578125" customWidth="1"/>
    <col min="4" max="4" width="12.5703125" customWidth="1"/>
    <col min="5" max="5" width="16.42578125" customWidth="1"/>
    <col min="6" max="26" width="9.140625" customWidth="1"/>
  </cols>
  <sheetData>
    <row r="1" spans="1:5" x14ac:dyDescent="0.25">
      <c r="A1" s="2" t="s">
        <v>26</v>
      </c>
      <c r="B1" s="3" t="s">
        <v>27</v>
      </c>
      <c r="C1" s="2" t="s">
        <v>21</v>
      </c>
      <c r="D1" s="3" t="s">
        <v>22</v>
      </c>
      <c r="E1" s="3" t="s">
        <v>23</v>
      </c>
    </row>
    <row r="2" spans="1:5" x14ac:dyDescent="0.25">
      <c r="A2" s="5" t="s">
        <v>28</v>
      </c>
      <c r="B2" s="6" t="s">
        <v>29</v>
      </c>
      <c r="C2" s="5" t="s">
        <v>30</v>
      </c>
      <c r="D2" s="6" t="s">
        <v>31</v>
      </c>
      <c r="E2" s="6" t="s">
        <v>32</v>
      </c>
    </row>
    <row r="3" spans="1:5" x14ac:dyDescent="0.25">
      <c r="A3" s="5" t="s">
        <v>33</v>
      </c>
      <c r="B3" s="6" t="s">
        <v>34</v>
      </c>
      <c r="C3" s="5" t="s">
        <v>35</v>
      </c>
      <c r="D3" s="6" t="s">
        <v>36</v>
      </c>
      <c r="E3" s="6" t="s">
        <v>37</v>
      </c>
    </row>
    <row r="4" spans="1:5" x14ac:dyDescent="0.25">
      <c r="A4" s="5" t="s">
        <v>38</v>
      </c>
      <c r="B4" s="6" t="s">
        <v>39</v>
      </c>
      <c r="C4" s="5" t="s">
        <v>40</v>
      </c>
      <c r="D4" s="6" t="s">
        <v>41</v>
      </c>
      <c r="E4" s="6" t="s">
        <v>42</v>
      </c>
    </row>
    <row r="5" spans="1:5" x14ac:dyDescent="0.25">
      <c r="A5" s="5" t="s">
        <v>43</v>
      </c>
      <c r="B5" s="6" t="s">
        <v>44</v>
      </c>
      <c r="D5" s="6" t="s">
        <v>45</v>
      </c>
      <c r="E5" s="6" t="s">
        <v>46</v>
      </c>
    </row>
    <row r="6" spans="1:5" x14ac:dyDescent="0.25">
      <c r="B6" s="6" t="s">
        <v>47</v>
      </c>
    </row>
    <row r="7" spans="1:5" x14ac:dyDescent="0.25">
      <c r="B7" s="6" t="s">
        <v>48</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Casos de Prueba</vt:lpstr>
      <vt:lpstr>Defectos</vt:lpstr>
      <vt:lpstr>Indicadores</vt:lpstr>
      <vt:lpstr>cp-01-evidencias</vt:lpstr>
      <vt:lpstr>cp-02-evidencias</vt:lpstr>
      <vt:lpstr>cp-03-evidencias</vt:lpstr>
      <vt:lpstr>cp-04-evidencias</vt:lpstr>
      <vt:lpstr>cp-05-evidencias</vt:lpstr>
      <vt:lpstr>cp-06-evidencias</vt:lpstr>
      <vt:lpstr>cp-07-evidencias</vt:lpstr>
      <vt:lpstr>cp-08-evidencias</vt:lpstr>
      <vt:lpstr>cp-09-evidencias</vt:lpstr>
      <vt:lpstr>cp-10-evidencias</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robles</cp:lastModifiedBy>
  <dcterms:modified xsi:type="dcterms:W3CDTF">2026-08-29T04:43:24Z</dcterms:modified>
</cp:coreProperties>
</file>